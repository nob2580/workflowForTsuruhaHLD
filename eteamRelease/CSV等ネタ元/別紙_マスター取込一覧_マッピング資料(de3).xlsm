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eteam\workspace\icsp\workflow-latest\eteamRelease\CSV等ネタ元\"/>
    </mc:Choice>
  </mc:AlternateContent>
  <xr:revisionPtr revIDLastSave="0" documentId="13_ncr:1_{DA13512A-8701-44CB-BD08-EF02BF21FC48}" xr6:coauthVersionLast="47" xr6:coauthVersionMax="47" xr10:uidLastSave="{00000000-0000-0000-0000-000000000000}"/>
  <bookViews>
    <workbookView xWindow="-120" yWindow="-120" windowWidth="29040" windowHeight="17520" tabRatio="872" xr2:uid="{00000000-000D-0000-FFFF-FFFF00000000}"/>
  </bookViews>
  <sheets>
    <sheet name="テーブルマッピング" sheetId="1" r:id="rId1"/>
    <sheet name="kamoku_master" sheetId="2" r:id="rId2"/>
    <sheet name="kamoku_edaban_zandaka" sheetId="8" r:id="rId3"/>
    <sheet name="bumon_master" sheetId="3" r:id="rId4"/>
    <sheet name="bumon_kamoku_zandaka" sheetId="9" r:id="rId5"/>
    <sheet name="torihikisaki_master" sheetId="4" r:id="rId6"/>
    <sheet name="torihikisaki" sheetId="20" r:id="rId7"/>
    <sheet name="torihikisaki_furikomisaki" sheetId="47" r:id="rId8"/>
    <sheet name="torihikisaki_shiharaihouhou" sheetId="48" r:id="rId9"/>
    <sheet name="torihikisaki_hojo" sheetId="49" r:id="rId10"/>
    <sheet name="torihikisaki_kamoku_zandaka" sheetId="11" r:id="rId11"/>
    <sheet name="segment_master" sheetId="45" r:id="rId12"/>
    <sheet name="segment_kamoku_zandaka" sheetId="46" r:id="rId13"/>
    <sheet name="uf1_ichiran" sheetId="6" r:id="rId14"/>
    <sheet name="uf1_zandaka" sheetId="14" r:id="rId15"/>
    <sheet name="uf2_ichiran" sheetId="25" r:id="rId16"/>
    <sheet name="uf2_zandaka" sheetId="26" r:id="rId17"/>
    <sheet name="uf3_ichiran" sheetId="7" r:id="rId18"/>
    <sheet name="uf3_zandaka" sheetId="15" r:id="rId19"/>
    <sheet name="kaisha_info" sheetId="24" r:id="rId20"/>
    <sheet name="project_master" sheetId="27" r:id="rId21"/>
    <sheet name="（期別）決算期" sheetId="33" r:id="rId22"/>
    <sheet name="（期別）科目" sheetId="34" r:id="rId23"/>
    <sheet name="（期別）部門" sheetId="35" r:id="rId24"/>
    <sheet name="（期別）集計部門" sheetId="36" r:id="rId25"/>
    <sheet name="（期別）科目セキュリティ" sheetId="37" r:id="rId26"/>
    <sheet name="（期別）部門セキュリティ" sheetId="38" r:id="rId27"/>
    <sheet name="（期別）科目枝番" sheetId="39" r:id="rId28"/>
    <sheet name="部門科目予算" sheetId="40" r:id="rId29"/>
    <sheet name="部門科目枝番残高" sheetId="41" r:id="rId30"/>
    <sheet name="部門科目枝番予算" sheetId="42" r:id="rId31"/>
    <sheet name="集計部門" sheetId="43" r:id="rId32"/>
    <sheet name="（期別）部署入出力仕訳" sheetId="44" r:id="rId33"/>
    <sheet name="open21_kinyuukikan" sheetId="50" r:id="rId34"/>
    <sheet name="（期別）消費税設定" sheetId="52" r:id="rId35"/>
    <sheet name="MEMO１（取引先）" sheetId="22" r:id="rId36"/>
    <sheet name="MEMO２（取引先）" sheetId="23" r:id="rId37"/>
    <sheet name="bk" sheetId="18" r:id="rId38"/>
  </sheets>
  <definedNames>
    <definedName name="_xlnm.Print_Area" localSheetId="22">'（期別）科目'!$A$1:$P$11</definedName>
    <definedName name="_xlnm.Print_Area" localSheetId="25">'（期別）科目セキュリティ'!$A$1:$P$9</definedName>
    <definedName name="_xlnm.Print_Area" localSheetId="27">'（期別）科目枝番'!$A$1:$P$10</definedName>
    <definedName name="_xlnm.Print_Area" localSheetId="21">'（期別）決算期'!$A$1:$P$10</definedName>
    <definedName name="_xlnm.Print_Area" localSheetId="24">'（期別）集計部門'!$A$1:$P$11</definedName>
    <definedName name="_xlnm.Print_Area" localSheetId="34">'（期別）消費税設定'!$A$1:$P$38</definedName>
    <definedName name="_xlnm.Print_Area" localSheetId="32">'（期別）部署入出力仕訳'!$A$1:$P$20</definedName>
    <definedName name="_xlnm.Print_Area" localSheetId="23">'（期別）部門'!$A$1:$P$10</definedName>
    <definedName name="_xlnm.Print_Area" localSheetId="26">'（期別）部門セキュリティ'!$A$1:$P$9</definedName>
    <definedName name="_xlnm.Print_Area" localSheetId="37">bk!$A$1:$I$29</definedName>
    <definedName name="_xlnm.Print_Area" localSheetId="4">bumon_kamoku_zandaka!$A$1:$P$49</definedName>
    <definedName name="_xlnm.Print_Area" localSheetId="3">bumon_master!$A$1:$P$13</definedName>
    <definedName name="_xlnm.Print_Area" localSheetId="19">kaisha_info!$A$1:$P$88</definedName>
    <definedName name="_xlnm.Print_Area" localSheetId="2">kamoku_edaban_zandaka!$A$1:$P$18</definedName>
    <definedName name="_xlnm.Print_Area" localSheetId="20">project_master!$A$1:$P$8</definedName>
    <definedName name="_xlnm.Print_Area" localSheetId="12">segment_kamoku_zandaka!$A$1:$P$17</definedName>
    <definedName name="_xlnm.Print_Area" localSheetId="11">segment_master!$A$1:$P$9</definedName>
    <definedName name="_xlnm.Print_Area" localSheetId="6">torihikisaki!$A$1:$P$44</definedName>
    <definedName name="_xlnm.Print_Area" localSheetId="5">torihikisaki_master!$A$1:$P$14</definedName>
    <definedName name="_xlnm.Print_Area" localSheetId="13">uf1_ichiran!$A$1:$P$9</definedName>
    <definedName name="_xlnm.Print_Area" localSheetId="15">uf2_ichiran!$A$1:$P$9</definedName>
    <definedName name="_xlnm.Print_Area" localSheetId="0">テーブルマッピング!$A$1:$J$54</definedName>
    <definedName name="_xlnm.Print_Area" localSheetId="31">集計部門!$A$1:$P$10</definedName>
    <definedName name="_xlnm.Print_Area" localSheetId="29">部門科目枝番残高!$A$1:$P$50</definedName>
    <definedName name="_xlnm.Print_Area" localSheetId="30">部門科目枝番予算!$A$1:$P$32</definedName>
    <definedName name="_xlnm.Print_Area" localSheetId="28">部門科目予算!$A$1:$P$31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1" i="1" l="1"/>
  <c r="D22" i="1"/>
  <c r="D23" i="1"/>
  <c r="D24" i="1"/>
  <c r="D25" i="1"/>
  <c r="D29" i="1"/>
  <c r="D32" i="1"/>
  <c r="D33" i="1"/>
  <c r="D34" i="1"/>
  <c r="D35" i="1"/>
  <c r="D36" i="1"/>
  <c r="D37" i="1"/>
  <c r="D38" i="1"/>
  <c r="D39" i="1"/>
  <c r="D40" i="1"/>
  <c r="D41" i="1"/>
  <c r="D42" i="1"/>
  <c r="D43" i="1"/>
  <c r="D44" i="1"/>
  <c r="D45" i="1"/>
  <c r="D46" i="1"/>
  <c r="D47" i="1"/>
  <c r="D48" i="1"/>
  <c r="D49" i="1"/>
  <c r="D50" i="1"/>
  <c r="D20" i="1"/>
  <c r="B2" i="25" l="1"/>
  <c r="B2" i="26"/>
  <c r="B2" i="14"/>
  <c r="B2" i="6"/>
  <c r="B2" i="24"/>
  <c r="B2" i="20"/>
  <c r="D29" i="18"/>
  <c r="D28" i="18"/>
  <c r="D27" i="18"/>
  <c r="D26" i="18"/>
  <c r="D25" i="18"/>
  <c r="D24" i="18"/>
  <c r="D23" i="18"/>
  <c r="D22" i="18"/>
  <c r="D21" i="18"/>
  <c r="D20" i="18"/>
  <c r="D19" i="18"/>
  <c r="D18" i="18"/>
  <c r="D17" i="18"/>
  <c r="D16" i="18"/>
  <c r="B2" i="7" l="1"/>
  <c r="B2" i="4"/>
  <c r="B2" i="3"/>
  <c r="B2" i="2"/>
  <c r="B2" i="15"/>
  <c r="B2" i="11"/>
  <c r="B2" i="9"/>
  <c r="B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tashiro_yuuta</author>
  </authors>
  <commentList>
    <comment ref="K13" authorId="0" shapeId="0" xr:uid="{00000000-0006-0000-1800-000001000000}">
      <text>
        <r>
          <rPr>
            <b/>
            <sz val="9"/>
            <color indexed="81"/>
            <rFont val="ＭＳ Ｐゴシック"/>
            <family val="3"/>
            <charset val="128"/>
          </rPr>
          <t>tashiro_yuuta:</t>
        </r>
        <r>
          <rPr>
            <sz val="9"/>
            <color indexed="81"/>
            <rFont val="ＭＳ Ｐゴシック"/>
            <family val="3"/>
            <charset val="128"/>
          </rPr>
          <t xml:space="preserve">
結合キー</t>
        </r>
      </text>
    </comment>
    <comment ref="K19" authorId="0" shapeId="0" xr:uid="{00000000-0006-0000-1800-000002000000}">
      <text>
        <r>
          <rPr>
            <b/>
            <sz val="9"/>
            <color indexed="81"/>
            <rFont val="ＭＳ Ｐゴシック"/>
            <family val="3"/>
            <charset val="128"/>
          </rPr>
          <t>tashiro_yuuta:</t>
        </r>
        <r>
          <rPr>
            <sz val="9"/>
            <color indexed="81"/>
            <rFont val="ＭＳ Ｐゴシック"/>
            <family val="3"/>
            <charset val="128"/>
          </rPr>
          <t xml:space="preserve">
結合キー
取引マスター（依頼先）の一件目の銀行データを取得するため、「１固定」とする</t>
        </r>
      </text>
    </comment>
    <comment ref="P25" authorId="0" shapeId="0" xr:uid="{00000000-0006-0000-1800-000003000000}">
      <text>
        <r>
          <rPr>
            <b/>
            <sz val="9"/>
            <color indexed="81"/>
            <rFont val="ＭＳ Ｐゴシック"/>
            <family val="3"/>
            <charset val="128"/>
          </rPr>
          <t>tashiro_yuuta:</t>
        </r>
        <r>
          <rPr>
            <sz val="9"/>
            <color indexed="81"/>
            <rFont val="ＭＳ Ｐゴシック"/>
            <family val="3"/>
            <charset val="128"/>
          </rPr>
          <t xml:space="preserve">
新規追加カラム</t>
        </r>
      </text>
    </comment>
  </commentList>
</comments>
</file>

<file path=xl/sharedStrings.xml><?xml version="1.0" encoding="utf-8"?>
<sst xmlns="http://schemas.openxmlformats.org/spreadsheetml/2006/main" count="5681" uniqueCount="1709">
  <si>
    <t>科目枝番残高</t>
  </si>
  <si>
    <t>テーブル名</t>
    <rPh sb="4" eb="5">
      <t>メイ</t>
    </rPh>
    <phoneticPr fontId="1"/>
  </si>
  <si>
    <t>VIEW名（OPEN21）</t>
    <rPh sb="4" eb="5">
      <t>メイ</t>
    </rPh>
    <phoneticPr fontId="1"/>
  </si>
  <si>
    <t>名称</t>
    <rPh sb="0" eb="2">
      <t>メイショウ</t>
    </rPh>
    <phoneticPr fontId="1"/>
  </si>
  <si>
    <t>OPEN21</t>
    <phoneticPr fontId="1"/>
  </si>
  <si>
    <t>科目マスター</t>
  </si>
  <si>
    <t>kamoku_master</t>
  </si>
  <si>
    <t>kamoku_edaban_zandaka</t>
  </si>
  <si>
    <t>部門科目残高</t>
  </si>
  <si>
    <t>bumon_kamoku_zandaka</t>
  </si>
  <si>
    <t>負担部門</t>
  </si>
  <si>
    <t>bumon_master</t>
  </si>
  <si>
    <t>取引先科目残高</t>
  </si>
  <si>
    <t>torihikisaki_kamoku_zandaka</t>
  </si>
  <si>
    <t>取引先マスター</t>
  </si>
  <si>
    <t>torihikisaki_master</t>
  </si>
  <si>
    <t>ユニバーサルフィールド１残高</t>
  </si>
  <si>
    <t>uf1_zandaka</t>
  </si>
  <si>
    <t>ユニバーサルフィールド１一覧</t>
  </si>
  <si>
    <t>uf1_ichiran</t>
  </si>
  <si>
    <t>ユニバーサルフィールド２残高</t>
  </si>
  <si>
    <t>uf2_zandaka</t>
  </si>
  <si>
    <t>ユニバーサルフィールド２一覧</t>
  </si>
  <si>
    <t>uf2_ichiran</t>
  </si>
  <si>
    <t>ユニバーサルフィールド３残高</t>
  </si>
  <si>
    <t>uf3_zandaka</t>
  </si>
  <si>
    <t>ユニバーサルフィールド３一覧</t>
  </si>
  <si>
    <t>uf3_ichiran</t>
  </si>
  <si>
    <t>部門科目枝番残高</t>
  </si>
  <si>
    <t>bumon_kamokuedaban_zandaka</t>
  </si>
  <si>
    <t>部門取引先科目残高</t>
  </si>
  <si>
    <t>bumon_torihikisaki_kamoku_zandaka</t>
  </si>
  <si>
    <t>A_KNAME</t>
    <phoneticPr fontId="1"/>
  </si>
  <si>
    <t>KI</t>
  </si>
  <si>
    <t>決算期番号</t>
  </si>
  <si>
    <t>smallint</t>
  </si>
  <si>
    <t>0：翌期，1：当期，2：前期，3：前々期，…</t>
  </si>
  <si>
    <t>KICD</t>
  </si>
  <si>
    <t>科目内部コード</t>
  </si>
  <si>
    <t>char</t>
  </si>
  <si>
    <t>×</t>
  </si>
  <si>
    <t>KCOD</t>
  </si>
  <si>
    <t>科目外部コード</t>
  </si>
  <si>
    <t>KNMX</t>
  </si>
  <si>
    <t>科目名称(略式)</t>
  </si>
  <si>
    <t>KNAM</t>
  </si>
  <si>
    <t>科目名称(正式)</t>
  </si>
  <si>
    <t>KNLD</t>
  </si>
  <si>
    <t>KOCD</t>
  </si>
  <si>
    <t>帳表出力順No</t>
  </si>
  <si>
    <t>KATT</t>
  </si>
  <si>
    <t>貸借属性</t>
  </si>
  <si>
    <t>0：借方，1：貸方</t>
  </si>
  <si>
    <t>GSW1</t>
  </si>
  <si>
    <t>科目グループ区分</t>
  </si>
  <si>
    <t>GSW2</t>
  </si>
  <si>
    <t>科目グループ番号</t>
  </si>
  <si>
    <t>SY01</t>
  </si>
  <si>
    <t>処理グループ</t>
  </si>
  <si>
    <t>SY02</t>
  </si>
  <si>
    <t>対価金額入力フラグ</t>
  </si>
  <si>
    <t>0：無し，1：有り</t>
  </si>
  <si>
    <t>SY03</t>
  </si>
  <si>
    <t>課税区分</t>
  </si>
  <si>
    <t>SY04</t>
  </si>
  <si>
    <t>分離区分</t>
  </si>
  <si>
    <t>SY05</t>
  </si>
  <si>
    <t>仕入区分</t>
  </si>
  <si>
    <t>0：共売，1：課売，2：非売</t>
  </si>
  <si>
    <t>SY06</t>
  </si>
  <si>
    <t>業種区分</t>
  </si>
  <si>
    <t>SY07</t>
  </si>
  <si>
    <t>税率区分</t>
  </si>
  <si>
    <t>1：3%，2：5%</t>
  </si>
  <si>
    <t>SY08</t>
  </si>
  <si>
    <t>特殊表示区分</t>
  </si>
  <si>
    <t>0：無し，1：貸倒損失，2：貸倒回収，3：課税貨物</t>
  </si>
  <si>
    <t>KE02</t>
  </si>
  <si>
    <t>枝番未入力チェック</t>
  </si>
  <si>
    <t>0：チェックしない，1：チェックする</t>
  </si>
  <si>
    <t>KT02</t>
  </si>
  <si>
    <t>取引先未入力チェック</t>
  </si>
  <si>
    <t>KB02</t>
  </si>
  <si>
    <t>部門未入力チェック</t>
  </si>
  <si>
    <t>BKE01</t>
  </si>
  <si>
    <t>部門科目枝番使用フラグ</t>
  </si>
  <si>
    <t>0：使用しない，1：使用する</t>
  </si>
  <si>
    <t>SG02</t>
  </si>
  <si>
    <t>セグメント未入力チェック</t>
  </si>
  <si>
    <t>PJ02</t>
  </si>
  <si>
    <t>プロジェクト未入力チェック</t>
  </si>
  <si>
    <t>UF12</t>
  </si>
  <si>
    <t>UF22</t>
  </si>
  <si>
    <t>UF32</t>
  </si>
  <si>
    <t>KJ02</t>
  </si>
  <si>
    <t>工事未入力チェック</t>
  </si>
  <si>
    <t>KS02</t>
  </si>
  <si>
    <t>工種未入力チェック</t>
  </si>
  <si>
    <t>TK02</t>
  </si>
  <si>
    <t>BTK01</t>
  </si>
  <si>
    <t>BTKE01</t>
  </si>
  <si>
    <t>部門取引先科目枝番使用フラグ</t>
  </si>
  <si>
    <t>現在未使用</t>
  </si>
  <si>
    <t>TKE01</t>
  </si>
  <si>
    <t>STK01</t>
  </si>
  <si>
    <t>セグメント取引先科目使用フラグ</t>
  </si>
  <si>
    <t>ユニバーサルフィールド１未入力チェック</t>
    <phoneticPr fontId="1"/>
  </si>
  <si>
    <t>ユニバーサルフィールド２未入力チェック</t>
    <phoneticPr fontId="1"/>
  </si>
  <si>
    <t>ユニバーサルフィールド３未入力チェック</t>
    <phoneticPr fontId="1"/>
  </si>
  <si>
    <t>0：対象外，1：税込，2：税抜，3：免税，4：非課税，
11：課込仕入，12：課込売上，13：課抜仕入，14：課抜売上，18：課込自動，19：課抜自動，
20：非課自動，21：貸倒損込，22：貸倒損抜，23：貸倒回込，24：貸倒回抜，
31：課税貨物，32：貨国税，33：貨地方税，
41：非課仕入，42：非課売上，
99：計算外，100：空白（消費税設定不可科目）</t>
    <phoneticPr fontId="1"/>
  </si>
  <si>
    <t>0：無し，1：自動分離（抜き仕訳作成の意），
2：振替作成（税振替仕訳作成の意），3：税作成（税額仕訳作成の意）</t>
    <phoneticPr fontId="1"/>
  </si>
  <si>
    <t>0：該当しない，又は、基本事業，1：第一種事業，2：第二種事業，
3：第三種事業，4：第四種事業，5：第五種事業</t>
    <phoneticPr fontId="1"/>
  </si>
  <si>
    <t>0：指定なし，1：期首棚卸，2：期末棚卸，3：固定資産，
4：固定資産売却益，5：固定資産売却損</t>
    <phoneticPr fontId="1"/>
  </si>
  <si>
    <t>0：該当無，1：対象外，2：資産，3：負債，4：売上，
5：仕入，6：経費，7：混在，8：有価証券，9：売上値引，10：仕入値引，
21：仮払消費税，22：仮受消費税</t>
    <phoneticPr fontId="1"/>
  </si>
  <si>
    <t>桁数</t>
  </si>
  <si>
    <t>備考</t>
  </si>
  <si>
    <t>取引先科目枝番使用フラグ</t>
    <phoneticPr fontId="1"/>
  </si>
  <si>
    <t>部門取引先科目使用フラグ</t>
    <phoneticPr fontId="1"/>
  </si>
  <si>
    <t>摘要コード未入力チェック</t>
    <phoneticPr fontId="1"/>
  </si>
  <si>
    <t>A_BNAME</t>
    <phoneticPr fontId="1"/>
  </si>
  <si>
    <t>№</t>
  </si>
  <si>
    <t>カラム名</t>
  </si>
  <si>
    <t>項目</t>
  </si>
  <si>
    <t>データ型</t>
  </si>
  <si>
    <t>NULL</t>
  </si>
  <si>
    <t>BCOD</t>
  </si>
  <si>
    <t>部門コード</t>
  </si>
  <si>
    <t>BNAM</t>
  </si>
  <si>
    <t>部門名称</t>
  </si>
  <si>
    <t>BFLG</t>
  </si>
  <si>
    <t>集計部門フラグ</t>
  </si>
  <si>
    <t>0：部門，1：集計部門</t>
  </si>
  <si>
    <t>A_TRNAM</t>
    <phoneticPr fontId="1"/>
  </si>
  <si>
    <t>TRCD</t>
  </si>
  <si>
    <t>取引先コード</t>
  </si>
  <si>
    <t>TRMX</t>
  </si>
  <si>
    <t>取引先名称（略式）</t>
  </si>
  <si>
    <t>TRNAM</t>
  </si>
  <si>
    <t>取引先名称（正式）</t>
  </si>
  <si>
    <t>A_UF2TBL</t>
    <phoneticPr fontId="1"/>
  </si>
  <si>
    <t>A_UF3TBL</t>
    <phoneticPr fontId="1"/>
  </si>
  <si>
    <t>A_EDZAN</t>
    <phoneticPr fontId="1"/>
  </si>
  <si>
    <t>A_BKZAN</t>
    <phoneticPr fontId="1"/>
  </si>
  <si>
    <t>A_TRZAN</t>
    <phoneticPr fontId="1"/>
  </si>
  <si>
    <t>A_UF2ZAN</t>
    <phoneticPr fontId="1"/>
  </si>
  <si>
    <t>A_UF3ZAN</t>
    <phoneticPr fontId="1"/>
  </si>
  <si>
    <t>ユニバーサルフィールド１残高</t>
    <phoneticPr fontId="1"/>
  </si>
  <si>
    <t>科目マスター</t>
    <phoneticPr fontId="1"/>
  </si>
  <si>
    <t>部門マスター一覧</t>
    <phoneticPr fontId="1"/>
  </si>
  <si>
    <t>取引先マスター一覧</t>
    <phoneticPr fontId="1"/>
  </si>
  <si>
    <t>ユニバーサルフィールド１一覧</t>
    <phoneticPr fontId="1"/>
  </si>
  <si>
    <t>科目枝番残高</t>
    <phoneticPr fontId="1"/>
  </si>
  <si>
    <t>ECOD</t>
  </si>
  <si>
    <t>枝番コード</t>
  </si>
  <si>
    <t>ENAM</t>
  </si>
  <si>
    <t>枝番名称</t>
  </si>
  <si>
    <t>K000</t>
  </si>
  <si>
    <t>期首残高</t>
  </si>
  <si>
    <t>numeric</t>
  </si>
  <si>
    <t>19,0</t>
  </si>
  <si>
    <t>部門科目残高</t>
    <phoneticPr fontId="1"/>
  </si>
  <si>
    <t>A_UF1ZAN</t>
    <phoneticPr fontId="1"/>
  </si>
  <si>
    <t>UF1CD</t>
  </si>
  <si>
    <t>UF1NR</t>
  </si>
  <si>
    <t>UF2CD</t>
  </si>
  <si>
    <t>UF２コード</t>
  </si>
  <si>
    <t>UF2NR</t>
  </si>
  <si>
    <t>ＵＦ２名称（略式）</t>
  </si>
  <si>
    <t>UF3CD</t>
  </si>
  <si>
    <t>UF３コード</t>
  </si>
  <si>
    <t>UF3NR</t>
  </si>
  <si>
    <t>ＵＦ３名称（略式）</t>
  </si>
  <si>
    <t>一覧へ戻る</t>
    <rPh sb="0" eb="2">
      <t>イチラン</t>
    </rPh>
    <rPh sb="3" eb="4">
      <t>モド</t>
    </rPh>
    <phoneticPr fontId="1"/>
  </si>
  <si>
    <t>A_UF1TBL</t>
    <phoneticPr fontId="1"/>
  </si>
  <si>
    <t>UF２名称（略式）</t>
  </si>
  <si>
    <t>UF３名称（略式）</t>
  </si>
  <si>
    <t>論理名</t>
  </si>
  <si>
    <t>物理名</t>
  </si>
  <si>
    <t>型</t>
  </si>
  <si>
    <t>UNIQUE</t>
  </si>
  <si>
    <t>NOT NULL</t>
  </si>
  <si>
    <t>OPEN21</t>
    <phoneticPr fontId="1"/>
  </si>
  <si>
    <t>OPEN21</t>
    <phoneticPr fontId="1"/>
  </si>
  <si>
    <t>eTeam</t>
    <phoneticPr fontId="1"/>
  </si>
  <si>
    <t>eTeam</t>
    <phoneticPr fontId="1"/>
  </si>
  <si>
    <t>KATT</t>
    <phoneticPr fontId="1"/>
  </si>
  <si>
    <t>smallint</t>
    <phoneticPr fontId="1"/>
  </si>
  <si>
    <t>kessanki_bangou</t>
  </si>
  <si>
    <t>kamoku_gaibu_cd</t>
  </si>
  <si>
    <t>科目枝番コード</t>
  </si>
  <si>
    <t>kamoku_edaban_cd</t>
  </si>
  <si>
    <t>kamoku_naibu_cd</t>
  </si>
  <si>
    <t>科目名（略式）</t>
  </si>
  <si>
    <t>kamoku_name_ryakushiki</t>
  </si>
  <si>
    <t>科目名（正式）</t>
  </si>
  <si>
    <t>kamoku_name_seishiki</t>
  </si>
  <si>
    <t>枝番名</t>
  </si>
  <si>
    <t>edaban_name</t>
  </si>
  <si>
    <t>帳票出力順番号</t>
  </si>
  <si>
    <t>chouhyou_shaturyoku_no</t>
  </si>
  <si>
    <t>taishaku_zokusei</t>
  </si>
  <si>
    <t>kishu_zandaka</t>
  </si>
  <si>
    <t>負担部門コード</t>
  </si>
  <si>
    <t>futan_bumon_cd</t>
  </si>
  <si>
    <t>負担部門名</t>
  </si>
  <si>
    <t>futan_bumon_name</t>
  </si>
  <si>
    <t>torihikisaki_cd</t>
  </si>
  <si>
    <t>取引先名（略式）</t>
  </si>
  <si>
    <t>torihikisaki_name_ryakushiki</t>
  </si>
  <si>
    <t>取引先名（正式）</t>
  </si>
  <si>
    <t>torihikisaki_name_seishiki</t>
  </si>
  <si>
    <t>UF2コード</t>
  </si>
  <si>
    <t>uf2_cd</t>
  </si>
  <si>
    <t>UF2名（略式）</t>
  </si>
  <si>
    <t>uf2_name_ryakushiki</t>
  </si>
  <si>
    <t>UF3コード</t>
  </si>
  <si>
    <t>uf3_cd</t>
  </si>
  <si>
    <t>UF3名（略式）</t>
  </si>
  <si>
    <t>uf3_name_ryakushiki</t>
  </si>
  <si>
    <t>shaukei_bumon_flg</t>
  </si>
  <si>
    <t>UF1コード</t>
  </si>
  <si>
    <t>uf1_cd</t>
  </si>
  <si>
    <t>UF1名（略式）</t>
  </si>
  <si>
    <t>uf1_name_ryakushiki</t>
  </si>
  <si>
    <t>NOT NULL</t>
    <phoneticPr fontId="1"/>
  </si>
  <si>
    <t>NOT NULL</t>
    <phoneticPr fontId="1"/>
  </si>
  <si>
    <t>taishaku_zokusei</t>
    <phoneticPr fontId="1"/>
  </si>
  <si>
    <t>kamoku_name_seishiki</t>
    <phoneticPr fontId="1"/>
  </si>
  <si>
    <t>科目名（正式）</t>
    <phoneticPr fontId="1"/>
  </si>
  <si>
    <t>futan_bumon_cd</t>
    <phoneticPr fontId="1"/>
  </si>
  <si>
    <t>取引先コード</t>
    <phoneticPr fontId="1"/>
  </si>
  <si>
    <t>torihikisaki_cd</t>
    <phoneticPr fontId="1"/>
  </si>
  <si>
    <t>負担部門コード</t>
    <phoneticPr fontId="1"/>
  </si>
  <si>
    <t>科目外部コード</t>
    <phoneticPr fontId="1"/>
  </si>
  <si>
    <t>kamoku_gaibu_cd</t>
    <phoneticPr fontId="1"/>
  </si>
  <si>
    <t>numeric</t>
    <phoneticPr fontId="1"/>
  </si>
  <si>
    <t>smallint</t>
    <phoneticPr fontId="1"/>
  </si>
  <si>
    <t>No</t>
    <phoneticPr fontId="1"/>
  </si>
  <si>
    <t>マスター取込一覧</t>
    <rPh sb="4" eb="6">
      <t>トリコミ</t>
    </rPh>
    <rPh sb="6" eb="8">
      <t>イチラン</t>
    </rPh>
    <phoneticPr fontId="1"/>
  </si>
  <si>
    <t>■概要</t>
    <rPh sb="1" eb="3">
      <t>ガイヨウ</t>
    </rPh>
    <phoneticPr fontId="1"/>
  </si>
  <si>
    <t>マスター取込を行う、対象のマスターを、OPEN21と諸届けでマッピングを行った資料です。</t>
    <rPh sb="4" eb="6">
      <t>トリコミ</t>
    </rPh>
    <rPh sb="7" eb="8">
      <t>オコナ</t>
    </rPh>
    <rPh sb="10" eb="12">
      <t>タイショウ</t>
    </rPh>
    <rPh sb="26" eb="27">
      <t>ショ</t>
    </rPh>
    <rPh sb="27" eb="28">
      <t>トド</t>
    </rPh>
    <rPh sb="36" eb="37">
      <t>オコナ</t>
    </rPh>
    <rPh sb="39" eb="41">
      <t>シリョウ</t>
    </rPh>
    <phoneticPr fontId="1"/>
  </si>
  <si>
    <t>本シートはマスター名（テーブル名）をマッピングした資料となります。</t>
    <rPh sb="0" eb="1">
      <t>ホン</t>
    </rPh>
    <rPh sb="9" eb="10">
      <t>メイ</t>
    </rPh>
    <rPh sb="15" eb="16">
      <t>メイ</t>
    </rPh>
    <rPh sb="25" eb="27">
      <t>シリョウ</t>
    </rPh>
    <phoneticPr fontId="1"/>
  </si>
  <si>
    <t>※各シートの黄色の網掛けは諸届けのカラム順（データ登録順）に合わせて入れ替えをした箇所です。</t>
    <rPh sb="25" eb="27">
      <t>トウロク</t>
    </rPh>
    <rPh sb="27" eb="28">
      <t>ジュン</t>
    </rPh>
    <phoneticPr fontId="1"/>
  </si>
  <si>
    <t>各マスターのシートはカラム情報をマッピングした資料となります。</t>
    <rPh sb="0" eb="1">
      <t>カク</t>
    </rPh>
    <rPh sb="13" eb="15">
      <t>ジョウホウ</t>
    </rPh>
    <rPh sb="23" eb="25">
      <t>シリョウ</t>
    </rPh>
    <phoneticPr fontId="1"/>
  </si>
  <si>
    <t>■マスターマッピング</t>
    <phoneticPr fontId="1"/>
  </si>
  <si>
    <t>諸届け</t>
    <rPh sb="0" eb="1">
      <t>ショ</t>
    </rPh>
    <rPh sb="1" eb="2">
      <t>トド</t>
    </rPh>
    <phoneticPr fontId="1"/>
  </si>
  <si>
    <t>削除</t>
    <rPh sb="0" eb="2">
      <t>サクジョ</t>
    </rPh>
    <phoneticPr fontId="1"/>
  </si>
  <si>
    <t>部門科目枝番残高</t>
    <phoneticPr fontId="1"/>
  </si>
  <si>
    <t>A_BKEZAN</t>
    <phoneticPr fontId="1"/>
  </si>
  <si>
    <t>部門取引先科目残高</t>
    <phoneticPr fontId="1"/>
  </si>
  <si>
    <t>A_BTKZAN</t>
    <phoneticPr fontId="1"/>
  </si>
  <si>
    <t>更新日：2014/05/01</t>
    <phoneticPr fontId="1"/>
  </si>
  <si>
    <t>varchar</t>
  </si>
  <si>
    <t>decimal</t>
  </si>
  <si>
    <t>varchar</t>
    <phoneticPr fontId="1"/>
  </si>
  <si>
    <t>kamoku_group_kbn</t>
  </si>
  <si>
    <t>kamoku_group_bangou</t>
  </si>
  <si>
    <t>shori_group</t>
  </si>
  <si>
    <t>taikakingaku_nyuuryoku_flg</t>
  </si>
  <si>
    <t>kazei_kbn</t>
  </si>
  <si>
    <t>bunri_kbn</t>
  </si>
  <si>
    <t>shiire_kbn</t>
  </si>
  <si>
    <t>gyousha_kbn</t>
  </si>
  <si>
    <t>zeiritsu_kbn</t>
  </si>
  <si>
    <t>tokusha_hyouji_kbn</t>
  </si>
  <si>
    <t>edaban_minyuuryoku_check</t>
  </si>
  <si>
    <t>torihikisaki_minyuuryoku_check</t>
  </si>
  <si>
    <t>bumon_minyuuryoku_check</t>
  </si>
  <si>
    <t>bumon_edaban_flg</t>
  </si>
  <si>
    <t>segment_minyuuryoku_check</t>
  </si>
  <si>
    <t>project_minyuuryoku_check</t>
  </si>
  <si>
    <t>ユニバーサルフィールド１未入力チェック</t>
  </si>
  <si>
    <t>uf1_minyuuryoku_check</t>
  </si>
  <si>
    <t>ユニバーサルフィールド２未入力チェック</t>
  </si>
  <si>
    <t>uf2_minyuuryoku_check</t>
  </si>
  <si>
    <t>ユニバーサルフィールド３未入力チェック</t>
  </si>
  <si>
    <t>uf3_minyuuryoku_check</t>
  </si>
  <si>
    <t>kouji_minyuuryoku_check</t>
  </si>
  <si>
    <t>kousha_minyuuryoku_check</t>
  </si>
  <si>
    <t>摘要コード未入力チェック</t>
  </si>
  <si>
    <t>tekiyou_cd_minyuuryoku_check</t>
  </si>
  <si>
    <t>部門取引先科目使用フラグ</t>
  </si>
  <si>
    <t>bumon_torhikisaki_kamoku_flg</t>
  </si>
  <si>
    <t>bumon_torihikisaki_edaban_shiyou_flg</t>
  </si>
  <si>
    <t>取引先科目枝番使用フラグ</t>
  </si>
  <si>
    <t>torihikisaki_kamoku_edaban_flg</t>
  </si>
  <si>
    <t>segment_torihikisaki_kamoku_flg</t>
  </si>
  <si>
    <t>決算期番号</t>
    <phoneticPr fontId="1"/>
  </si>
  <si>
    <t>kessanki_bangou</t>
    <phoneticPr fontId="1"/>
  </si>
  <si>
    <t>smallint</t>
    <phoneticPr fontId="1"/>
  </si>
  <si>
    <t>※参考資料：document\99.その他共有情報\OPEN21\社外持出禁止ガイド\de2_エクスポーターガイダンス（管理者用）.pdf</t>
    <rPh sb="1" eb="3">
      <t>サンコウ</t>
    </rPh>
    <rPh sb="3" eb="5">
      <t>シリョウ</t>
    </rPh>
    <phoneticPr fontId="1"/>
  </si>
  <si>
    <t>①</t>
    <phoneticPr fontId="1"/>
  </si>
  <si>
    <t>②</t>
    <phoneticPr fontId="1"/>
  </si>
  <si>
    <t>④</t>
    <phoneticPr fontId="1"/>
  </si>
  <si>
    <t>⑦</t>
    <phoneticPr fontId="1"/>
  </si>
  <si>
    <t>⑧</t>
    <phoneticPr fontId="1"/>
  </si>
  <si>
    <t>⑨</t>
    <phoneticPr fontId="1"/>
  </si>
  <si>
    <t>⑩</t>
    <phoneticPr fontId="1"/>
  </si>
  <si>
    <t>⑪</t>
    <phoneticPr fontId="1"/>
  </si>
  <si>
    <t>⑬</t>
    <phoneticPr fontId="1"/>
  </si>
  <si>
    <t>⑭</t>
    <phoneticPr fontId="1"/>
  </si>
  <si>
    <t>シート名</t>
    <rPh sb="3" eb="4">
      <t>メイ</t>
    </rPh>
    <phoneticPr fontId="1"/>
  </si>
  <si>
    <t>取引先</t>
  </si>
  <si>
    <t>　</t>
  </si>
  <si>
    <t>HJCD</t>
  </si>
  <si>
    <t>取引先補助コード</t>
  </si>
  <si>
    <t>integer</t>
  </si>
  <si>
    <t>RYAKU</t>
  </si>
  <si>
    <t>取引先名称（略称名称）</t>
  </si>
  <si>
    <t>TORI_NAM</t>
  </si>
  <si>
    <t>取引先名称（正式名称）</t>
  </si>
  <si>
    <t>50音</t>
  </si>
  <si>
    <t>TGASW</t>
  </si>
  <si>
    <t>手形管理のみSW</t>
  </si>
  <si>
    <t>ZIP</t>
  </si>
  <si>
    <t>郵便番号</t>
  </si>
  <si>
    <t>ADDR1</t>
  </si>
  <si>
    <t>住所１</t>
  </si>
  <si>
    <t>ADDR2</t>
  </si>
  <si>
    <t>住所２</t>
  </si>
  <si>
    <t>TEL</t>
  </si>
  <si>
    <t>電話番号</t>
  </si>
  <si>
    <t>FAX</t>
  </si>
  <si>
    <t>FAX番号</t>
  </si>
  <si>
    <t>SBUSYO</t>
  </si>
  <si>
    <t>先方担当者部署</t>
  </si>
  <si>
    <t>STANTO</t>
  </si>
  <si>
    <t>先方担当者</t>
  </si>
  <si>
    <t>KEICD</t>
  </si>
  <si>
    <t>敬称区分</t>
  </si>
  <si>
    <t>KEISNM</t>
  </si>
  <si>
    <t>(敬称名)</t>
  </si>
  <si>
    <t>STAN</t>
  </si>
  <si>
    <t>主担当者</t>
  </si>
  <si>
    <t>TNAM</t>
  </si>
  <si>
    <t>(主担当名称)</t>
  </si>
  <si>
    <t>該当する担当者がなければ空欄</t>
  </si>
  <si>
    <t>SBCOD</t>
  </si>
  <si>
    <t>初期表示　部門コード</t>
  </si>
  <si>
    <t>SBNAM</t>
  </si>
  <si>
    <t>(部門名称)</t>
  </si>
  <si>
    <t>該当する明細部門がなければ空欄（当期固定）</t>
  </si>
  <si>
    <t>SKCOD</t>
  </si>
  <si>
    <t>初期表示　科目コード</t>
  </si>
  <si>
    <t>該当する科目がなければ空欄（当期固定）</t>
  </si>
  <si>
    <t>SKNAM</t>
  </si>
  <si>
    <t>(科目名称)</t>
  </si>
  <si>
    <t>NAYOSE</t>
  </si>
  <si>
    <t>名寄区分</t>
  </si>
  <si>
    <t>F_SETUIN</t>
  </si>
  <si>
    <t>節印区分</t>
  </si>
  <si>
    <t>F_SOUFU</t>
  </si>
  <si>
    <t>送付案内出力区分</t>
  </si>
  <si>
    <t>ANNAI</t>
  </si>
  <si>
    <t>案内文パターン</t>
  </si>
  <si>
    <t>TSOKBN</t>
  </si>
  <si>
    <t>手形送料　負担区分</t>
  </si>
  <si>
    <t>F_SHITU</t>
  </si>
  <si>
    <t>支払通知出力</t>
  </si>
  <si>
    <t>SHO_ID</t>
  </si>
  <si>
    <t>支払方法ID</t>
  </si>
  <si>
    <t>発生部門コード</t>
  </si>
  <si>
    <t>0：全部門対象</t>
  </si>
  <si>
    <t>HBNAM</t>
  </si>
  <si>
    <t>SS_TSHOH.BCODが「0」のときは「全部門」該当する明細部門がなければ空欄（当期固定）</t>
  </si>
  <si>
    <t>HKCOD</t>
  </si>
  <si>
    <t>債務科目コード</t>
  </si>
  <si>
    <t>SS_TSHOH.KICDが「0」のときは「0」該当する科目がなければ空欄（当期固定）</t>
  </si>
  <si>
    <t>HKNAM</t>
  </si>
  <si>
    <t>SS_TSHOH.KICDが「0」のときは「全科目」該当する科目がなければ空欄（当期固定）</t>
  </si>
  <si>
    <t>SHINO</t>
  </si>
  <si>
    <t>支払条件区分</t>
  </si>
  <si>
    <t>HARAI_H</t>
  </si>
  <si>
    <t>休日補正　（支払日）</t>
  </si>
  <si>
    <t>KIJITU_H</t>
  </si>
  <si>
    <t>休日補正　（支払期日）</t>
  </si>
  <si>
    <t>SIMEBI</t>
  </si>
  <si>
    <t>締日</t>
  </si>
  <si>
    <t>SHIHARAIMM</t>
  </si>
  <si>
    <t>支払日N月後</t>
  </si>
  <si>
    <t>SIHARAIDD</t>
  </si>
  <si>
    <t>支払日</t>
  </si>
  <si>
    <t>SKIJITUMM</t>
  </si>
  <si>
    <t>支払期日N月後</t>
  </si>
  <si>
    <t>SKIJITUDD</t>
  </si>
  <si>
    <t>支払期日</t>
  </si>
  <si>
    <t>SKBNCOD</t>
  </si>
  <si>
    <t>支払区分</t>
  </si>
  <si>
    <t>SKBNMA</t>
  </si>
  <si>
    <t>(区分名称)</t>
  </si>
  <si>
    <t>V_YAKUJO</t>
  </si>
  <si>
    <t>約定金額</t>
  </si>
  <si>
    <t>15,0</t>
  </si>
  <si>
    <t>YAKUJOA_L</t>
  </si>
  <si>
    <t>約定A以下支払区分</t>
  </si>
  <si>
    <t>SKBNMA_L</t>
  </si>
  <si>
    <t>YAKUJOA_M</t>
  </si>
  <si>
    <t>約定A超過支払区分</t>
  </si>
  <si>
    <t>SKBNMA_M</t>
  </si>
  <si>
    <t>YAKUJOB_LH</t>
  </si>
  <si>
    <t>約定B未満支払区分</t>
  </si>
  <si>
    <t>SKBNMB_L</t>
  </si>
  <si>
    <t>YAKUJOB_H1</t>
  </si>
  <si>
    <t>約定B以上　支払区分①</t>
  </si>
  <si>
    <t>SKBNMB_1</t>
  </si>
  <si>
    <t>YAKUJOB_R1</t>
  </si>
  <si>
    <t>約定B支払　分割率①</t>
  </si>
  <si>
    <t>4,1</t>
  </si>
  <si>
    <t>YAKUJOB_U1</t>
  </si>
  <si>
    <t>約定B　端数単位①</t>
  </si>
  <si>
    <t>YAKUJOB_S1</t>
  </si>
  <si>
    <t>約定B端数処理①</t>
  </si>
  <si>
    <t>YAKUJOB_H2</t>
  </si>
  <si>
    <t>約定B以上　支払区分②</t>
  </si>
  <si>
    <t>SKBNMB_2</t>
  </si>
  <si>
    <t>YAKUJOB_R2</t>
  </si>
  <si>
    <t>約定B支払　分割率②</t>
  </si>
  <si>
    <t>YAKUJOB_U2</t>
  </si>
  <si>
    <t>約定B　端数単位②</t>
  </si>
  <si>
    <t>YAKUJOB_S2</t>
  </si>
  <si>
    <t>約定B　端数処理②</t>
  </si>
  <si>
    <t>YAKUJOB_H3</t>
  </si>
  <si>
    <t>約定B以上　支払区分③</t>
  </si>
  <si>
    <t>SKBNMB_3</t>
  </si>
  <si>
    <t>YAKUJOB_R3</t>
  </si>
  <si>
    <t>約定B支払　分割率③</t>
  </si>
  <si>
    <t>YAKUJOB_U3</t>
  </si>
  <si>
    <t>約定B　端数単位③</t>
  </si>
  <si>
    <t>YAKUJOB_S3</t>
  </si>
  <si>
    <t>約定B　端数処理③</t>
  </si>
  <si>
    <t>SI_KUBN1</t>
  </si>
  <si>
    <t>支払区分１</t>
  </si>
  <si>
    <t>SKBNM1</t>
  </si>
  <si>
    <t>SI_BANK1</t>
  </si>
  <si>
    <t>銀行コード1</t>
  </si>
  <si>
    <t>SI_BKNAM1</t>
  </si>
  <si>
    <t>(銀行名称)</t>
  </si>
  <si>
    <t>該当する銀行がなければ空欄</t>
  </si>
  <si>
    <t>SI_SITEN1</t>
  </si>
  <si>
    <t>銀行支店コード1</t>
  </si>
  <si>
    <t>SI_BRNAM1</t>
  </si>
  <si>
    <t>(支店名称)</t>
  </si>
  <si>
    <t>該当する支店がなければ空欄</t>
  </si>
  <si>
    <t>SI_KOZA1</t>
  </si>
  <si>
    <t>口座種別1</t>
  </si>
  <si>
    <t>SI_KOZANO1</t>
  </si>
  <si>
    <t>口座番号1</t>
  </si>
  <si>
    <t>SI_IRAININ1</t>
  </si>
  <si>
    <t>契約者コード1</t>
  </si>
  <si>
    <t>SI_KUBN2</t>
  </si>
  <si>
    <t>支払区分2</t>
  </si>
  <si>
    <t>SKBNM2</t>
  </si>
  <si>
    <t>SI_BANK2</t>
  </si>
  <si>
    <t>銀行コード2</t>
  </si>
  <si>
    <t>SI_BKNAM2</t>
  </si>
  <si>
    <t>SI_SITEN2</t>
  </si>
  <si>
    <t>銀行支店コード2</t>
  </si>
  <si>
    <t>SI_BRNAM2</t>
  </si>
  <si>
    <t>SI_KOZA2</t>
  </si>
  <si>
    <t>口座種別2</t>
  </si>
  <si>
    <t>SI_KOZANO2</t>
  </si>
  <si>
    <t>口座番号2</t>
  </si>
  <si>
    <t>SI_IRAININ2</t>
  </si>
  <si>
    <t>契約者コード2</t>
  </si>
  <si>
    <t>SI_KUBN3</t>
  </si>
  <si>
    <t>支払区分3</t>
  </si>
  <si>
    <t>SKBNM3</t>
  </si>
  <si>
    <t>SI_BANK3</t>
  </si>
  <si>
    <t>銀行コード3</t>
  </si>
  <si>
    <t>SI_BKNAM3</t>
  </si>
  <si>
    <t>SI_SITEN3</t>
  </si>
  <si>
    <t>銀行支店コード3</t>
  </si>
  <si>
    <t>SI_BRNAM3</t>
  </si>
  <si>
    <t>SI_KOZA3</t>
  </si>
  <si>
    <t>口座種別3</t>
  </si>
  <si>
    <t>SI_KOZANO3</t>
  </si>
  <si>
    <t>口座番号3</t>
  </si>
  <si>
    <t>SI_IRAININ3</t>
  </si>
  <si>
    <t>契約者コード3</t>
  </si>
  <si>
    <t>SI_KUBN4</t>
  </si>
  <si>
    <t>支払区分4</t>
  </si>
  <si>
    <t>SKBNM4</t>
  </si>
  <si>
    <t>SI_BANK4</t>
  </si>
  <si>
    <t>銀行コード4</t>
  </si>
  <si>
    <t>SI_BKNAM4</t>
  </si>
  <si>
    <t>SI_SITEN4</t>
  </si>
  <si>
    <t>銀行支店コード4</t>
  </si>
  <si>
    <t>SI_BRNAM4</t>
  </si>
  <si>
    <t>SI_KOZA4</t>
  </si>
  <si>
    <t>口座種別4</t>
  </si>
  <si>
    <t>SI_KOZANO4</t>
  </si>
  <si>
    <t>口座番号4</t>
  </si>
  <si>
    <t>SI_IRAININ4</t>
  </si>
  <si>
    <t>契約者コード4</t>
  </si>
  <si>
    <t>HORYU</t>
  </si>
  <si>
    <t>支払保留区分</t>
  </si>
  <si>
    <t>HOVAL</t>
  </si>
  <si>
    <t>支払率</t>
  </si>
  <si>
    <t>GENSEN</t>
  </si>
  <si>
    <t>源泉税計算区分</t>
  </si>
  <si>
    <t>GOU</t>
  </si>
  <si>
    <t>第204号　第１項一号</t>
  </si>
  <si>
    <t>GGKBN</t>
  </si>
  <si>
    <t>源泉区分コード</t>
  </si>
  <si>
    <t>GGKBNM</t>
  </si>
  <si>
    <t>源泉区分名称</t>
  </si>
  <si>
    <t>GSKUBN</t>
  </si>
  <si>
    <t>源泉税支払区分</t>
  </si>
  <si>
    <t>SZEI</t>
  </si>
  <si>
    <t>消費税丸め処理</t>
  </si>
  <si>
    <t>DM1</t>
  </si>
  <si>
    <t>補助コード1</t>
  </si>
  <si>
    <t>DM2</t>
  </si>
  <si>
    <t>補助コード2</t>
  </si>
  <si>
    <t>DM3</t>
  </si>
  <si>
    <t>補助コード3</t>
  </si>
  <si>
    <t>CD01</t>
  </si>
  <si>
    <t>コード01</t>
  </si>
  <si>
    <t>CD02</t>
  </si>
  <si>
    <t>コード02</t>
  </si>
  <si>
    <t>CD03</t>
  </si>
  <si>
    <t>コード03</t>
  </si>
  <si>
    <t>CD04</t>
  </si>
  <si>
    <t>コード04</t>
  </si>
  <si>
    <t>STYMD</t>
  </si>
  <si>
    <t>使用開始年月日</t>
  </si>
  <si>
    <t>EDYMD</t>
  </si>
  <si>
    <t>使用終了年月日</t>
  </si>
  <si>
    <t>STFLG</t>
  </si>
  <si>
    <t>取引停止</t>
  </si>
  <si>
    <t>かなインデックス</t>
  </si>
  <si>
    <t>kana_index</t>
  </si>
  <si>
    <t>取引先ふり仮名</t>
  </si>
  <si>
    <t>torihikisaki_furigana</t>
  </si>
  <si>
    <t>yuubin_bangou</t>
  </si>
  <si>
    <t>juusho1</t>
  </si>
  <si>
    <t>juusho2</t>
  </si>
  <si>
    <t>telno</t>
  </si>
  <si>
    <t>faxno</t>
  </si>
  <si>
    <t>締切日</t>
  </si>
  <si>
    <t>shimekiribi</t>
  </si>
  <si>
    <t>date</t>
  </si>
  <si>
    <t>口座名義人</t>
  </si>
  <si>
    <t>kouza_meiginin</t>
  </si>
  <si>
    <t>口座名義人ふり仮名</t>
  </si>
  <si>
    <t>kouza_meiginin_furigana</t>
  </si>
  <si>
    <t>shiharai_kbn</t>
  </si>
  <si>
    <t>相手銀行コード</t>
  </si>
  <si>
    <t>aiteginkou_cd</t>
  </si>
  <si>
    <t>相手銀行支店コード</t>
  </si>
  <si>
    <t>aiteginkou_shiten_cd</t>
  </si>
  <si>
    <t>預金種別</t>
  </si>
  <si>
    <t>yokin_shubetsu</t>
  </si>
  <si>
    <t>口座番号</t>
  </si>
  <si>
    <t>kouza_bangou</t>
  </si>
  <si>
    <t>手数料負担区分</t>
  </si>
  <si>
    <t>tesuuryou_futan_kbn</t>
  </si>
  <si>
    <t>振込区分</t>
  </si>
  <si>
    <t>furikomi_kbn</t>
  </si>
  <si>
    <t>自社負担限度額</t>
  </si>
  <si>
    <t>jishafutan_gendogaku</t>
  </si>
  <si>
    <t>手形銀行コード</t>
  </si>
  <si>
    <t>tegata_ginkou_cd</t>
  </si>
  <si>
    <t>手形支店コード</t>
  </si>
  <si>
    <t>tegata_shiten_cd</t>
  </si>
  <si>
    <t>振込銀行コード</t>
  </si>
  <si>
    <t>furikomi_ginkou_cd</t>
  </si>
  <si>
    <t>振込銀行支店コード</t>
  </si>
  <si>
    <t>furikomi_ginkou_shiten_cd</t>
  </si>
  <si>
    <t>小切手銀行コード</t>
  </si>
  <si>
    <t>kogitte_ginkou_cd</t>
  </si>
  <si>
    <t>小切手銀行支店コード</t>
  </si>
  <si>
    <t>kogitte_ginkou_shiten_cd</t>
  </si>
  <si>
    <t>shiharaibi</t>
  </si>
  <si>
    <t>shiharai_kijitsu</t>
  </si>
  <si>
    <t>送付案内区分</t>
  </si>
  <si>
    <t>soufu_annai_kbn</t>
  </si>
  <si>
    <t>送付案内文面</t>
  </si>
  <si>
    <t>soufu_annai_bunmen</t>
  </si>
  <si>
    <t>節印実行区分</t>
  </si>
  <si>
    <t>setsuin_jikkou_kbn</t>
  </si>
  <si>
    <t>yakujou_kingaku</t>
  </si>
  <si>
    <t>約定支払区分</t>
  </si>
  <si>
    <t>yakujou_shiharai_kbn</t>
  </si>
  <si>
    <t>分割支払区分１</t>
  </si>
  <si>
    <t>bunkatsu_shiharai_kbn1</t>
  </si>
  <si>
    <t>分割割合１</t>
  </si>
  <si>
    <t>bunkatsu_wariai1</t>
  </si>
  <si>
    <t>分割支払区分２</t>
  </si>
  <si>
    <t>bunkatsu_shiharai_kbn2</t>
  </si>
  <si>
    <t>分割割合２</t>
  </si>
  <si>
    <t>bunkatsu_wariai2</t>
  </si>
  <si>
    <t>分割支払区分３</t>
  </si>
  <si>
    <t>bunkatsu_shiharai_kbn3</t>
  </si>
  <si>
    <t>分割割合３</t>
  </si>
  <si>
    <t>bunkatsu_wariai3</t>
  </si>
  <si>
    <t>端数支払区分</t>
  </si>
  <si>
    <t>hasuu_shiharai_kbn</t>
  </si>
  <si>
    <t>登録ユーザーID</t>
  </si>
  <si>
    <t>touroku_user_id</t>
  </si>
  <si>
    <t>登録日時</t>
  </si>
  <si>
    <t>touroku_time</t>
  </si>
  <si>
    <t>timestamp</t>
  </si>
  <si>
    <t>更新ユーザーID</t>
  </si>
  <si>
    <t>koushin_user_id</t>
  </si>
  <si>
    <t>更新日時</t>
  </si>
  <si>
    <t>koushin_time</t>
  </si>
  <si>
    <t xml:space="preserve">○ </t>
  </si>
  <si>
    <t>○</t>
  </si>
  <si>
    <t xml:space="preserve"> </t>
  </si>
  <si>
    <t/>
  </si>
  <si>
    <t>BANK_CD</t>
  </si>
  <si>
    <t>銀行コード</t>
  </si>
  <si>
    <t>BKNAM</t>
  </si>
  <si>
    <t>SITEN_ID</t>
  </si>
  <si>
    <t>銀行支店コード</t>
  </si>
  <si>
    <t>BRNAM</t>
  </si>
  <si>
    <t>YOKIN_TYP</t>
  </si>
  <si>
    <t>口座種別</t>
  </si>
  <si>
    <t>KOUZA</t>
  </si>
  <si>
    <t>MEIGI</t>
  </si>
  <si>
    <t>名義人</t>
  </si>
  <si>
    <t>MEIGIK</t>
  </si>
  <si>
    <t>名義人（カナ）</t>
  </si>
  <si>
    <t>TESUU</t>
  </si>
  <si>
    <t>SOUKIN</t>
  </si>
  <si>
    <t>GENDO</t>
  </si>
  <si>
    <t>手数料負担限度額</t>
  </si>
  <si>
    <t>12,0</t>
  </si>
  <si>
    <t>支払区分名</t>
    <rPh sb="4" eb="5">
      <t>メイ</t>
    </rPh>
    <phoneticPr fontId="1"/>
  </si>
  <si>
    <t>eTeam[取引先]</t>
    <rPh sb="6" eb="8">
      <t>トリヒキ</t>
    </rPh>
    <rPh sb="8" eb="9">
      <t>サキ</t>
    </rPh>
    <phoneticPr fontId="1"/>
  </si>
  <si>
    <t>■OPEN21の以下２つのマスター「取引先マスター（依頼先・振込先）」を結合した値をeTeam「取引先」へデータ取込を行う。</t>
    <rPh sb="8" eb="10">
      <t>イカ</t>
    </rPh>
    <rPh sb="18" eb="20">
      <t>トリヒキ</t>
    </rPh>
    <rPh sb="20" eb="21">
      <t>サキ</t>
    </rPh>
    <rPh sb="26" eb="29">
      <t>イライサキ</t>
    </rPh>
    <rPh sb="30" eb="32">
      <t>フリコミ</t>
    </rPh>
    <rPh sb="32" eb="33">
      <t>サキ</t>
    </rPh>
    <rPh sb="36" eb="38">
      <t>ケツゴウ</t>
    </rPh>
    <rPh sb="40" eb="41">
      <t>アタイ</t>
    </rPh>
    <rPh sb="48" eb="50">
      <t>トリヒキ</t>
    </rPh>
    <rPh sb="50" eb="51">
      <t>サキ</t>
    </rPh>
    <rPh sb="56" eb="58">
      <t>トリコミ</t>
    </rPh>
    <rPh sb="59" eb="60">
      <t>オコナ</t>
    </rPh>
    <phoneticPr fontId="1"/>
  </si>
  <si>
    <t>※２件目以降はデータ取得対象外とする。</t>
    <rPh sb="10" eb="12">
      <t>シュトク</t>
    </rPh>
    <rPh sb="12" eb="14">
      <t>タイショウ</t>
    </rPh>
    <rPh sb="14" eb="15">
      <t>ガイ</t>
    </rPh>
    <phoneticPr fontId="1"/>
  </si>
  <si>
    <t>■おそらく、（依頼先）１対ｎ（振込先）となっているが（振込先）の1件目のデータを取得対象とする。</t>
    <rPh sb="7" eb="10">
      <t>イライサキ</t>
    </rPh>
    <rPh sb="12" eb="13">
      <t>タイ</t>
    </rPh>
    <rPh sb="15" eb="17">
      <t>フリコミ</t>
    </rPh>
    <rPh sb="17" eb="18">
      <t>サキ</t>
    </rPh>
    <rPh sb="27" eb="29">
      <t>フリコミ</t>
    </rPh>
    <rPh sb="29" eb="30">
      <t>サキ</t>
    </rPh>
    <rPh sb="33" eb="34">
      <t>ケン</t>
    </rPh>
    <rPh sb="34" eb="35">
      <t>メ</t>
    </rPh>
    <rPh sb="40" eb="42">
      <t>シュトク</t>
    </rPh>
    <rPh sb="42" eb="44">
      <t>タイショウ</t>
    </rPh>
    <phoneticPr fontId="1"/>
  </si>
  <si>
    <t>■OPEN21の仕様で、支払区分は任意の値を設定できるため、eTeamとの整合性を保つため、区分名称を取得する。その為、カラムを新規追加する。</t>
    <rPh sb="8" eb="10">
      <t>シヨウ</t>
    </rPh>
    <rPh sb="12" eb="14">
      <t>シハライ</t>
    </rPh>
    <rPh sb="14" eb="16">
      <t>クブン</t>
    </rPh>
    <rPh sb="17" eb="19">
      <t>ニンイ</t>
    </rPh>
    <rPh sb="20" eb="21">
      <t>アタイ</t>
    </rPh>
    <rPh sb="22" eb="24">
      <t>セッテイ</t>
    </rPh>
    <rPh sb="37" eb="40">
      <t>セイゴウセイ</t>
    </rPh>
    <rPh sb="41" eb="42">
      <t>タモ</t>
    </rPh>
    <rPh sb="46" eb="48">
      <t>クブン</t>
    </rPh>
    <rPh sb="48" eb="50">
      <t>メイショウ</t>
    </rPh>
    <rPh sb="51" eb="53">
      <t>シュトク</t>
    </rPh>
    <rPh sb="58" eb="59">
      <t>タメ</t>
    </rPh>
    <rPh sb="64" eb="66">
      <t>シンキ</t>
    </rPh>
    <rPh sb="66" eb="68">
      <t>ツイカ</t>
    </rPh>
    <phoneticPr fontId="1"/>
  </si>
  <si>
    <t>■右記に色付け網掛けの意味を記載します。</t>
    <rPh sb="1" eb="3">
      <t>ウキ</t>
    </rPh>
    <rPh sb="4" eb="5">
      <t>イロ</t>
    </rPh>
    <rPh sb="5" eb="6">
      <t>ツ</t>
    </rPh>
    <rPh sb="7" eb="9">
      <t>アミカ</t>
    </rPh>
    <rPh sb="11" eb="13">
      <t>イミ</t>
    </rPh>
    <rPh sb="14" eb="16">
      <t>キサイ</t>
    </rPh>
    <phoneticPr fontId="1"/>
  </si>
  <si>
    <t>送金区分</t>
    <phoneticPr fontId="1"/>
  </si>
  <si>
    <t>（取引先）で名称が一致しない曖昧な取得対象。</t>
    <rPh sb="1" eb="3">
      <t>トリヒキ</t>
    </rPh>
    <rPh sb="3" eb="4">
      <t>サキ</t>
    </rPh>
    <phoneticPr fontId="1"/>
  </si>
  <si>
    <t>（依頼先）からの取込対象。</t>
    <phoneticPr fontId="1"/>
  </si>
  <si>
    <t>（振込先）からの取込対象。</t>
    <phoneticPr fontId="1"/>
  </si>
  <si>
    <t>現在のeTeamで使用している項目。</t>
    <phoneticPr fontId="1"/>
  </si>
  <si>
    <t>（依頼先）（振込先）テーブルの結合キー。</t>
    <rPh sb="1" eb="4">
      <t>イライサキ</t>
    </rPh>
    <rPh sb="6" eb="8">
      <t>フリコミ</t>
    </rPh>
    <rPh sb="8" eb="9">
      <t>サキ</t>
    </rPh>
    <rPh sb="15" eb="17">
      <t>ケツゴウ</t>
    </rPh>
    <phoneticPr fontId="1"/>
  </si>
  <si>
    <t>OPEN21はデータ取得対象外、eTeamは不要削除カラム。</t>
    <rPh sb="10" eb="12">
      <t>シュトク</t>
    </rPh>
    <rPh sb="12" eb="14">
      <t>タイショウ</t>
    </rPh>
    <rPh sb="14" eb="15">
      <t>ガイ</t>
    </rPh>
    <rPh sb="22" eb="24">
      <t>フヨウ</t>
    </rPh>
    <rPh sb="24" eb="26">
      <t>サクジョ</t>
    </rPh>
    <phoneticPr fontId="1"/>
  </si>
  <si>
    <t>NOT NULL</t>
    <phoneticPr fontId="1"/>
  </si>
  <si>
    <t>■結合キーは「取引先コード」。その他の条件として「振込先銀行ＩＤ（固定値：１）」とする。</t>
    <rPh sb="1" eb="3">
      <t>ケツゴウ</t>
    </rPh>
    <rPh sb="7" eb="9">
      <t>トリヒキ</t>
    </rPh>
    <rPh sb="9" eb="10">
      <t>サキ</t>
    </rPh>
    <rPh sb="17" eb="18">
      <t>タ</t>
    </rPh>
    <rPh sb="19" eb="21">
      <t>ジョウケン</t>
    </rPh>
    <rPh sb="25" eb="27">
      <t>フリコミ</t>
    </rPh>
    <rPh sb="27" eb="28">
      <t>サキ</t>
    </rPh>
    <rPh sb="28" eb="30">
      <t>ギンコウ</t>
    </rPh>
    <rPh sb="33" eb="36">
      <t>コテイチ</t>
    </rPh>
    <phoneticPr fontId="1"/>
  </si>
  <si>
    <t>OPEN21[取引先マスター（依頼先）]</t>
    <phoneticPr fontId="1"/>
  </si>
  <si>
    <t>OPEN21[取引先マスター（振込先）]</t>
    <phoneticPr fontId="1"/>
  </si>
  <si>
    <t>取引先マスター（依頼先/振込先）のVIEWが使えると想定していたころの資料</t>
    <rPh sb="22" eb="23">
      <t>ツカ</t>
    </rPh>
    <rPh sb="26" eb="28">
      <t>ソウテイ</t>
    </rPh>
    <rPh sb="35" eb="37">
      <t>シリョウ</t>
    </rPh>
    <phoneticPr fontId="1"/>
  </si>
  <si>
    <t>支払種別</t>
    <rPh sb="2" eb="4">
      <t>シュベツ</t>
    </rPh>
    <phoneticPr fontId="1"/>
  </si>
  <si>
    <t>TRCD</t>
    <phoneticPr fontId="1"/>
  </si>
  <si>
    <t>ZIP</t>
    <phoneticPr fontId="1"/>
  </si>
  <si>
    <t>ADDR1</t>
    <phoneticPr fontId="1"/>
  </si>
  <si>
    <t>SKBKIND</t>
    <phoneticPr fontId="1"/>
  </si>
  <si>
    <t>取引先の取得先資料</t>
    <rPh sb="0" eb="2">
      <t>トリヒキ</t>
    </rPh>
    <rPh sb="2" eb="3">
      <t>サキ</t>
    </rPh>
    <rPh sb="4" eb="6">
      <t>シュトク</t>
    </rPh>
    <rPh sb="6" eb="7">
      <t>サキ</t>
    </rPh>
    <rPh sb="7" eb="9">
      <t>シリョウ</t>
    </rPh>
    <phoneticPr fontId="1"/>
  </si>
  <si>
    <t>No</t>
    <phoneticPr fontId="10"/>
  </si>
  <si>
    <t>項目</t>
    <rPh sb="0" eb="2">
      <t>コウモク</t>
    </rPh>
    <phoneticPr fontId="10"/>
  </si>
  <si>
    <t>カラム名</t>
    <rPh sb="3" eb="4">
      <t>メイ</t>
    </rPh>
    <phoneticPr fontId="10"/>
  </si>
  <si>
    <t>データ型</t>
    <rPh sb="3" eb="4">
      <t>ガタ</t>
    </rPh>
    <phoneticPr fontId="10"/>
  </si>
  <si>
    <t>Null</t>
    <phoneticPr fontId="10"/>
  </si>
  <si>
    <t>参照元</t>
    <rPh sb="0" eb="2">
      <t>サンショウ</t>
    </rPh>
    <rPh sb="2" eb="3">
      <t>モト</t>
    </rPh>
    <phoneticPr fontId="10"/>
  </si>
  <si>
    <t>参照条件（結合条件）</t>
    <rPh sb="2" eb="4">
      <t>ジョウケン</t>
    </rPh>
    <rPh sb="5" eb="7">
      <t>ケツゴウ</t>
    </rPh>
    <rPh sb="7" eb="9">
      <t>ジョウケン</t>
    </rPh>
    <phoneticPr fontId="10"/>
  </si>
  <si>
    <t>備考</t>
    <rPh sb="0" eb="2">
      <t>ビコウ</t>
    </rPh>
    <phoneticPr fontId="10"/>
  </si>
  <si>
    <t>char(13)</t>
  </si>
  <si>
    <t>N</t>
  </si>
  <si>
    <t>SS_TORI.TRCD</t>
  </si>
  <si>
    <t>SS_TORI.HJCD</t>
  </si>
  <si>
    <t>char(60)</t>
  </si>
  <si>
    <t>char(7)</t>
  </si>
  <si>
    <t>SS_TORI.ZIP</t>
  </si>
  <si>
    <t>SS_TORI.ADDR1</t>
  </si>
  <si>
    <t>SS_TORI.ADDR2</t>
  </si>
  <si>
    <t>char(15)</t>
  </si>
  <si>
    <t>SS_TORI.TEL</t>
  </si>
  <si>
    <t>SS_TORI.FAX</t>
  </si>
  <si>
    <t>Y</t>
  </si>
  <si>
    <t>SS_SHOHO.SKIJITUDD</t>
  </si>
  <si>
    <t>SS_SHOHO.SKBNCOD</t>
  </si>
  <si>
    <t>SS_SKUBN.SKBNCOD = SS_SHOHO.SKBNCOD</t>
  </si>
  <si>
    <t>numeric(15,0)</t>
  </si>
  <si>
    <t>SS_SHOHO.V_YAKUJO</t>
  </si>
  <si>
    <t>char(4)</t>
  </si>
  <si>
    <t>char(3)</t>
  </si>
  <si>
    <t>char(1)</t>
  </si>
  <si>
    <t>\\192.168.10.4\aa社内プロジェクト\諸届\70.質問票\20140617_メール（取引先マスターについて）\de3_会社DB_View21_債務支払_121220_01.xls</t>
    <phoneticPr fontId="1"/>
  </si>
  <si>
    <t>【参考資料】</t>
    <rPh sb="1" eb="3">
      <t>サンコウ</t>
    </rPh>
    <rPh sb="3" eb="5">
      <t>シリョウ</t>
    </rPh>
    <phoneticPr fontId="1"/>
  </si>
  <si>
    <t>※必要な項目のみ抜粋</t>
    <rPh sb="1" eb="3">
      <t>ヒツヨウ</t>
    </rPh>
    <rPh sb="4" eb="6">
      <t>コウモク</t>
    </rPh>
    <rPh sb="8" eb="10">
      <t>バッスイ</t>
    </rPh>
    <phoneticPr fontId="1"/>
  </si>
  <si>
    <t>SS_SHOHO.SHINO = SS_TSHOH.SHINO</t>
    <phoneticPr fontId="10"/>
  </si>
  <si>
    <t>yokin_shubetsu</t>
    <phoneticPr fontId="1"/>
  </si>
  <si>
    <t>shiharai_shubetsu</t>
    <phoneticPr fontId="1"/>
  </si>
  <si>
    <t>口座名義人</t>
    <phoneticPr fontId="1"/>
  </si>
  <si>
    <t>GIN_ID</t>
  </si>
  <si>
    <t>SS_FRIGIN.SITEN_ID</t>
  </si>
  <si>
    <t>SS_FRIGIN.MEIGI</t>
  </si>
  <si>
    <t>SS_FRIGIN.MEIGIK</t>
  </si>
  <si>
    <t>SS_FRIGIN.TESUU</t>
  </si>
  <si>
    <t>SS_FRIGIN.SOUKIN</t>
  </si>
  <si>
    <t>SHO_ID</t>
    <phoneticPr fontId="10"/>
  </si>
  <si>
    <t>SS_TSHOH.SHO_ID</t>
    <phoneticPr fontId="10"/>
  </si>
  <si>
    <t>SHINO</t>
    <phoneticPr fontId="10"/>
  </si>
  <si>
    <t>SS_TSHOH.SHINO</t>
    <phoneticPr fontId="10"/>
  </si>
  <si>
    <t>No</t>
    <phoneticPr fontId="10"/>
  </si>
  <si>
    <t>Null</t>
    <phoneticPr fontId="10"/>
  </si>
  <si>
    <t>SS_TORI.TRCD</t>
    <phoneticPr fontId="10"/>
  </si>
  <si>
    <t>振込先銀行ID</t>
    <phoneticPr fontId="10"/>
  </si>
  <si>
    <t>SS_FRIGIN.GIN_ID</t>
    <phoneticPr fontId="10"/>
  </si>
  <si>
    <t>SS_FRIGIN.BANK_CD</t>
    <phoneticPr fontId="10"/>
  </si>
  <si>
    <t>SS_FRIGIN.YOKIN_TYP</t>
    <phoneticPr fontId="10"/>
  </si>
  <si>
    <t>SS_FRIGIN.KOUZA</t>
    <phoneticPr fontId="10"/>
  </si>
  <si>
    <t>送金区分</t>
    <phoneticPr fontId="10"/>
  </si>
  <si>
    <t>GIN_ID</t>
    <phoneticPr fontId="1"/>
  </si>
  <si>
    <t>振込先銀行ID</t>
    <phoneticPr fontId="1"/>
  </si>
  <si>
    <t>shiharai_kbn_name</t>
    <phoneticPr fontId="1"/>
  </si>
  <si>
    <t>送金区分</t>
    <phoneticPr fontId="1"/>
  </si>
  <si>
    <t>支払区分</t>
    <phoneticPr fontId="1"/>
  </si>
  <si>
    <t>口座種別</t>
    <phoneticPr fontId="1"/>
  </si>
  <si>
    <t>YOKIN_TYP</t>
    <phoneticPr fontId="1"/>
  </si>
  <si>
    <t>**</t>
    <phoneticPr fontId="1"/>
  </si>
  <si>
    <t>SKBKIND</t>
    <phoneticPr fontId="1"/>
  </si>
  <si>
    <t>支払種別</t>
    <phoneticPr fontId="1"/>
  </si>
  <si>
    <t>-</t>
    <phoneticPr fontId="1"/>
  </si>
  <si>
    <t>SS_SKUBN.SKBKIND</t>
    <phoneticPr fontId="1"/>
  </si>
  <si>
    <t>SS_SHOHO.SIHARAIDD</t>
    <phoneticPr fontId="1"/>
  </si>
  <si>
    <t>SS_TORIに対して複数レコード有るので１件目を取得する。</t>
    <rPh sb="17" eb="18">
      <t>ア</t>
    </rPh>
    <rPh sb="22" eb="23">
      <t>ケン</t>
    </rPh>
    <rPh sb="23" eb="24">
      <t>メ</t>
    </rPh>
    <rPh sb="25" eb="27">
      <t>シュトク</t>
    </rPh>
    <phoneticPr fontId="1"/>
  </si>
  <si>
    <t>SS_TSHOHとの結合条件として使用する。</t>
    <rPh sb="10" eb="12">
      <t>ケツゴウ</t>
    </rPh>
    <rPh sb="12" eb="14">
      <t>ジョウケン</t>
    </rPh>
    <rPh sb="17" eb="19">
      <t>シヨウ</t>
    </rPh>
    <phoneticPr fontId="1"/>
  </si>
  <si>
    <t>取引先コードが13桁以上のデータは除外。
SS_TSHOHとの結合条件として使用する。</t>
    <rPh sb="31" eb="33">
      <t>ケツゴウ</t>
    </rPh>
    <rPh sb="33" eb="35">
      <t>ジョウケン</t>
    </rPh>
    <phoneticPr fontId="1"/>
  </si>
  <si>
    <t>SS_SKUBNとの結合条件として使用する。</t>
    <rPh sb="10" eb="12">
      <t>ケツゴウ</t>
    </rPh>
    <rPh sb="12" eb="14">
      <t>ジョウケン</t>
    </rPh>
    <phoneticPr fontId="1"/>
  </si>
  <si>
    <t>取引先補助コード</t>
    <phoneticPr fontId="10"/>
  </si>
  <si>
    <t>SS_FRIGIN.GIN_ID = 1</t>
    <phoneticPr fontId="1"/>
  </si>
  <si>
    <t>SS_FRIGIN.HJCD = SS_TORI.HJCD</t>
    <phoneticPr fontId="10"/>
  </si>
  <si>
    <t>LENGTH(SS_TORI.TRCD) &lt; 13
SS_FRIGIN.TRCD = SS_TORI</t>
    <phoneticPr fontId="10"/>
  </si>
  <si>
    <t>支払区分は作成できるので固定のこちらの値を参照する。</t>
    <rPh sb="0" eb="2">
      <t>シハライ</t>
    </rPh>
    <rPh sb="2" eb="4">
      <t>クブン</t>
    </rPh>
    <rPh sb="5" eb="7">
      <t>サクセイ</t>
    </rPh>
    <rPh sb="12" eb="14">
      <t>コテイ</t>
    </rPh>
    <rPh sb="19" eb="20">
      <t>アタイ</t>
    </rPh>
    <rPh sb="21" eb="23">
      <t>サンショウ</t>
    </rPh>
    <phoneticPr fontId="1"/>
  </si>
  <si>
    <t xml:space="preserve">LENGTH(SS_TORI.TRCD) &lt; 13
SS_TSHOH.TRCD = SS_TORI </t>
    <phoneticPr fontId="10"/>
  </si>
  <si>
    <t>SS_TSHOH.HJCD = SS_TORI.HJCD</t>
    <phoneticPr fontId="1"/>
  </si>
  <si>
    <t>SS_TSHOH.SHO_ID = 1</t>
    <phoneticPr fontId="1"/>
  </si>
  <si>
    <t>SS_SHOHOとの結合条件として使用する。</t>
    <phoneticPr fontId="1"/>
  </si>
  <si>
    <t>■取引先マスター（依頼先）AA_TORIHIKISAKIのVIEWが参照しているテーブル</t>
    <rPh sb="34" eb="36">
      <t>サンショウ</t>
    </rPh>
    <phoneticPr fontId="1"/>
  </si>
  <si>
    <t>■取引先マスター（振込先）AA_FURIKOMIのVIEWが参照しているテーブル</t>
    <phoneticPr fontId="1"/>
  </si>
  <si>
    <t>■MEMO１（取引先）で取得するデータを絞り込んだ情報を元に、以下の資料と照らし合わせています。</t>
    <rPh sb="12" eb="14">
      <t>シュトク</t>
    </rPh>
    <rPh sb="20" eb="21">
      <t>シボ</t>
    </rPh>
    <rPh sb="22" eb="23">
      <t>コ</t>
    </rPh>
    <rPh sb="25" eb="27">
      <t>ジョウホウ</t>
    </rPh>
    <rPh sb="28" eb="29">
      <t>モト</t>
    </rPh>
    <rPh sb="31" eb="33">
      <t>イカ</t>
    </rPh>
    <rPh sb="34" eb="36">
      <t>シリョウ</t>
    </rPh>
    <rPh sb="37" eb="38">
      <t>テ</t>
    </rPh>
    <rPh sb="40" eb="41">
      <t>ア</t>
    </rPh>
    <phoneticPr fontId="1"/>
  </si>
  <si>
    <t>A_UF2ZAN</t>
  </si>
  <si>
    <t>A_EDZAN VIEW参考</t>
    <rPh sb="12" eb="14">
      <t>サンコウ</t>
    </rPh>
    <phoneticPr fontId="1"/>
  </si>
  <si>
    <t>A_BKZAN VIEW参照</t>
    <rPh sb="12" eb="14">
      <t>サンショウ</t>
    </rPh>
    <phoneticPr fontId="1"/>
  </si>
  <si>
    <t>A_TRZAN VIEW参照</t>
    <rPh sb="12" eb="14">
      <t>サンショウ</t>
    </rPh>
    <phoneticPr fontId="1"/>
  </si>
  <si>
    <t>A_UF3ZAN</t>
  </si>
  <si>
    <t>A_KNAME</t>
    <phoneticPr fontId="1"/>
  </si>
  <si>
    <t>A_BNAME</t>
  </si>
  <si>
    <t>A_TRNAM</t>
  </si>
  <si>
    <t>A_UF2TBL</t>
  </si>
  <si>
    <t>A_UF3TBL</t>
    <phoneticPr fontId="1"/>
  </si>
  <si>
    <t>AA_TORIHIKISAKI</t>
    <phoneticPr fontId="1"/>
  </si>
  <si>
    <t>K000</t>
    <phoneticPr fontId="1"/>
  </si>
  <si>
    <t>// 取引先に「支払区分」「振込銀行」は複数データが有るので１件目を取得するように指定</t>
  </si>
  <si>
    <t>kaisha_info</t>
    <phoneticPr fontId="1"/>
  </si>
  <si>
    <t>会社情報</t>
    <rPh sb="0" eb="2">
      <t>カイシャ</t>
    </rPh>
    <rPh sb="2" eb="4">
      <t>ジョウホウ</t>
    </rPh>
    <phoneticPr fontId="1"/>
  </si>
  <si>
    <t>uf1_shiyou_flg</t>
  </si>
  <si>
    <t>uf2_shiyou_flg</t>
  </si>
  <si>
    <t>uf3_shiyou_flg</t>
  </si>
  <si>
    <t>決算期番号</t>
    <phoneticPr fontId="1"/>
  </si>
  <si>
    <t>uf1_name</t>
  </si>
  <si>
    <t>uf2_name</t>
  </si>
  <si>
    <t>uf3_name</t>
  </si>
  <si>
    <t>D2FLG</t>
  </si>
  <si>
    <t>D2NM</t>
  </si>
  <si>
    <t>D3FLG</t>
  </si>
  <si>
    <t>D3NM</t>
  </si>
  <si>
    <t>×</t>
    <phoneticPr fontId="1"/>
  </si>
  <si>
    <t>×</t>
    <phoneticPr fontId="1"/>
  </si>
  <si>
    <t>ユニバーサルフィールド１残高</t>
    <phoneticPr fontId="1"/>
  </si>
  <si>
    <t>kamoku_master</t>
    <phoneticPr fontId="1"/>
  </si>
  <si>
    <t>kamoku_edaban_zandaka</t>
    <phoneticPr fontId="1"/>
  </si>
  <si>
    <t>kamoku_edaban_zandaka</t>
    <phoneticPr fontId="1"/>
  </si>
  <si>
    <t>kamoku_master</t>
    <phoneticPr fontId="1"/>
  </si>
  <si>
    <t>bumon_master</t>
    <phoneticPr fontId="1"/>
  </si>
  <si>
    <t>bumon_master</t>
    <phoneticPr fontId="1"/>
  </si>
  <si>
    <t>bumon_kamoku_zandaka</t>
    <phoneticPr fontId="1"/>
  </si>
  <si>
    <t>bumon_kamoku_zandaka</t>
    <phoneticPr fontId="1"/>
  </si>
  <si>
    <t>torihikisaki_master</t>
    <phoneticPr fontId="1"/>
  </si>
  <si>
    <t>torihikisaki</t>
    <phoneticPr fontId="1"/>
  </si>
  <si>
    <t>torihikisaki_kamoku_zandaka</t>
    <phoneticPr fontId="1"/>
  </si>
  <si>
    <t>torihikisaki_kamoku_zandaka</t>
    <phoneticPr fontId="1"/>
  </si>
  <si>
    <t>uf2_ichiran</t>
    <phoneticPr fontId="1"/>
  </si>
  <si>
    <t>uf2_ichiran</t>
    <phoneticPr fontId="1"/>
  </si>
  <si>
    <t>uf2_zandaka</t>
    <phoneticPr fontId="1"/>
  </si>
  <si>
    <t>uf1_ichiran</t>
    <phoneticPr fontId="1"/>
  </si>
  <si>
    <t>uf1_zandaka</t>
    <phoneticPr fontId="1"/>
  </si>
  <si>
    <t>uf1_ichiran</t>
    <phoneticPr fontId="1"/>
  </si>
  <si>
    <t>uf1_zandaka</t>
    <phoneticPr fontId="1"/>
  </si>
  <si>
    <t>A_UF1TBL</t>
    <phoneticPr fontId="1"/>
  </si>
  <si>
    <t>A_UF1ZAN</t>
    <phoneticPr fontId="1"/>
  </si>
  <si>
    <t>ユニバーサルフィールド１一覧</t>
    <phoneticPr fontId="1"/>
  </si>
  <si>
    <t>uf2_zandaka</t>
    <phoneticPr fontId="1"/>
  </si>
  <si>
    <t>UF1名称（略式）</t>
  </si>
  <si>
    <t>ＵＦ1名称（略式）</t>
  </si>
  <si>
    <t>uf3_ichiran</t>
    <phoneticPr fontId="1"/>
  </si>
  <si>
    <t>uf3_ichiran</t>
    <phoneticPr fontId="1"/>
  </si>
  <si>
    <t>uf3_zandaka</t>
    <phoneticPr fontId="1"/>
  </si>
  <si>
    <t>uf3_zandaka</t>
    <phoneticPr fontId="1"/>
  </si>
  <si>
    <t>kaisha_info</t>
    <phoneticPr fontId="1"/>
  </si>
  <si>
    <t>プロジェクトマスター</t>
    <phoneticPr fontId="1"/>
  </si>
  <si>
    <t>project_master</t>
    <phoneticPr fontId="1"/>
  </si>
  <si>
    <t>PRPNM</t>
    <phoneticPr fontId="1"/>
  </si>
  <si>
    <t>PRJECT</t>
    <phoneticPr fontId="1"/>
  </si>
  <si>
    <t>ﾌﾟﾛｼﾞｪｸﾄｺｰﾄﾞ</t>
    <phoneticPr fontId="1"/>
  </si>
  <si>
    <t>ﾌﾟﾛｼﾞｪｸﾄ名称（略式）</t>
    <phoneticPr fontId="1"/>
  </si>
  <si>
    <t>PRJNAMS</t>
    <phoneticPr fontId="1"/>
  </si>
  <si>
    <t>PJFLG</t>
    <phoneticPr fontId="1"/>
  </si>
  <si>
    <t>pjcd_shiyou_flg</t>
    <phoneticPr fontId="1"/>
  </si>
  <si>
    <t>プロジェクトコード使用フラグ</t>
    <phoneticPr fontId="1"/>
  </si>
  <si>
    <t>project_cd</t>
    <phoneticPr fontId="1"/>
  </si>
  <si>
    <t>プロジェクトコード</t>
    <phoneticPr fontId="1"/>
  </si>
  <si>
    <t>project_name</t>
    <phoneticPr fontId="1"/>
  </si>
  <si>
    <t>プロジェクト名</t>
    <rPh sb="6" eb="7">
      <t>メイ</t>
    </rPh>
    <phoneticPr fontId="1"/>
  </si>
  <si>
    <t>メモ</t>
    <phoneticPr fontId="1"/>
  </si>
  <si>
    <t>※参考資料：10.諸届\70.受領資料\10.OPEN21\de3_エクスポーター\de3_エクスポーターガイダンス（管理者用）.doc</t>
    <rPh sb="1" eb="3">
      <t>サンコウ</t>
    </rPh>
    <rPh sb="3" eb="5">
      <t>シリョウ</t>
    </rPh>
    <phoneticPr fontId="1"/>
  </si>
  <si>
    <t>■CSVについて</t>
    <phoneticPr fontId="1"/>
  </si>
  <si>
    <r>
      <t>当シートから出力されるCSV(master_torikomi_ichiran_de3.csv、master_torikomi_shousai_de3.csv)は</t>
    </r>
    <r>
      <rPr>
        <u/>
        <sz val="11"/>
        <color theme="1"/>
        <rFont val="ＭＳ Ｐゴシック"/>
        <family val="3"/>
        <charset val="128"/>
        <scheme val="minor"/>
      </rPr>
      <t>デプロイ対象です。</t>
    </r>
    <rPh sb="0" eb="1">
      <t>トウ</t>
    </rPh>
    <rPh sb="6" eb="8">
      <t>シュツリョク</t>
    </rPh>
    <rPh sb="84" eb="86">
      <t>タイショウ</t>
    </rPh>
    <phoneticPr fontId="1"/>
  </si>
  <si>
    <r>
      <t>master_kanri_ichiran_de3.csv、master_kanri_hansuu_de3.csvについては、WEB(マスター管理メニュー)から参照する為の制御データです。</t>
    </r>
    <r>
      <rPr>
        <u/>
        <sz val="11"/>
        <color theme="1"/>
        <rFont val="ＭＳ Ｐゴシック"/>
        <family val="3"/>
        <charset val="128"/>
        <scheme val="minor"/>
      </rPr>
      <t>参考情報です。</t>
    </r>
    <rPh sb="70" eb="72">
      <t>カンリ</t>
    </rPh>
    <rPh sb="79" eb="81">
      <t>サンショウ</t>
    </rPh>
    <rPh sb="83" eb="84">
      <t>タメ</t>
    </rPh>
    <rPh sb="85" eb="87">
      <t>セイギョ</t>
    </rPh>
    <rPh sb="93" eb="95">
      <t>サンコウ</t>
    </rPh>
    <rPh sb="95" eb="97">
      <t>ジョウホウ</t>
    </rPh>
    <phoneticPr fontId="1"/>
  </si>
  <si>
    <t>科目マスター</t>
    <phoneticPr fontId="1"/>
  </si>
  <si>
    <t>科目枝番残高</t>
    <phoneticPr fontId="1"/>
  </si>
  <si>
    <t>部門マスター一覧</t>
    <phoneticPr fontId="1"/>
  </si>
  <si>
    <t>部門科目残高</t>
    <phoneticPr fontId="1"/>
  </si>
  <si>
    <t>取引先マスター一覧</t>
    <phoneticPr fontId="1"/>
  </si>
  <si>
    <t>取引先マスター（依頼先）</t>
    <phoneticPr fontId="1"/>
  </si>
  <si>
    <t>ユニバーサルフィールド１一覧</t>
    <phoneticPr fontId="1"/>
  </si>
  <si>
    <t>ユニバーサルフィールド１残高</t>
    <phoneticPr fontId="1"/>
  </si>
  <si>
    <t>ユニバーサルフィールド２一覧</t>
    <phoneticPr fontId="1"/>
  </si>
  <si>
    <t>プロジェクトマスター</t>
    <phoneticPr fontId="1"/>
  </si>
  <si>
    <t>HF1コード使用ﾌﾗｸﾞ</t>
  </si>
  <si>
    <t>ヘッダーフィールド1使用フラグ</t>
    <phoneticPr fontId="1"/>
  </si>
  <si>
    <t>hf1_shiyou_flg</t>
    <phoneticPr fontId="1"/>
  </si>
  <si>
    <t>HF1コード名称</t>
  </si>
  <si>
    <t>ヘッダーフィールド1名称</t>
    <phoneticPr fontId="1"/>
  </si>
  <si>
    <t>hf1_name</t>
    <phoneticPr fontId="1"/>
  </si>
  <si>
    <t>varchar</t>
    <phoneticPr fontId="1"/>
  </si>
  <si>
    <t>HF2コード使用ﾌﾗｸﾞ</t>
  </si>
  <si>
    <t>ヘッダーフィールド2使用フラグ</t>
  </si>
  <si>
    <t>hf2_shiyou_flg</t>
  </si>
  <si>
    <t>HF2コード名称</t>
  </si>
  <si>
    <t>ヘッダーフィールド2名称</t>
  </si>
  <si>
    <t>hf2_name</t>
  </si>
  <si>
    <t>HF3コード使用ﾌﾗｸﾞ</t>
  </si>
  <si>
    <t>ヘッダーフィールド3使用フラグ</t>
  </si>
  <si>
    <t>hf3_shiyou_flg</t>
  </si>
  <si>
    <t>HF3コード名称</t>
  </si>
  <si>
    <t>ヘッダーフィールド3名称</t>
  </si>
  <si>
    <t>hf3_name</t>
  </si>
  <si>
    <t>D1FLG</t>
  </si>
  <si>
    <t>UF１コード使用ﾌﾗｸﾞ</t>
  </si>
  <si>
    <t>ユニバーサルフィールド1使用フラグ</t>
    <phoneticPr fontId="1"/>
  </si>
  <si>
    <t>D1NM</t>
  </si>
  <si>
    <t>UF１コード名称</t>
  </si>
  <si>
    <t>ユニバーサルフィールド1名称</t>
    <phoneticPr fontId="1"/>
  </si>
  <si>
    <t>UF２コード使用ﾌﾗｸﾞ</t>
  </si>
  <si>
    <t>ユニバーサルフィールド2使用フラグ</t>
  </si>
  <si>
    <t>UF２コード名称</t>
  </si>
  <si>
    <t>ユニバーサルフィールド2名称</t>
  </si>
  <si>
    <t>UF３コード使用ﾌﾗｸﾞ</t>
  </si>
  <si>
    <t>ユニバーサルフィールド3使用フラグ</t>
  </si>
  <si>
    <t>UF３コード名称</t>
  </si>
  <si>
    <t>ユニバーサルフィールド3名称</t>
  </si>
  <si>
    <t>プロジェクト使用フラグ</t>
  </si>
  <si>
    <t>''</t>
    <phoneticPr fontId="1"/>
  </si>
  <si>
    <t>HF1必須フラグ</t>
    <rPh sb="3" eb="5">
      <t>ヒッス</t>
    </rPh>
    <phoneticPr fontId="1"/>
  </si>
  <si>
    <t>int</t>
    <phoneticPr fontId="1"/>
  </si>
  <si>
    <t>ヘッダーフィールド1必須フラグ</t>
    <phoneticPr fontId="1"/>
  </si>
  <si>
    <t>hf1_hissu_flg</t>
    <phoneticPr fontId="1"/>
  </si>
  <si>
    <t>HF2必須フラグ</t>
    <rPh sb="3" eb="5">
      <t>ヒッス</t>
    </rPh>
    <phoneticPr fontId="1"/>
  </si>
  <si>
    <t>ヘッダーフィールド2必須フラグ</t>
    <phoneticPr fontId="1"/>
  </si>
  <si>
    <t>hf2_hissu_flg</t>
    <phoneticPr fontId="1"/>
  </si>
  <si>
    <t>HF3必須フラグ</t>
    <rPh sb="3" eb="5">
      <t>ヒッス</t>
    </rPh>
    <phoneticPr fontId="1"/>
  </si>
  <si>
    <t>ヘッダーフィールド3必須フラグ</t>
    <phoneticPr fontId="1"/>
  </si>
  <si>
    <t>hf3_hissu_flg</t>
    <phoneticPr fontId="1"/>
  </si>
  <si>
    <t>kesn</t>
  </si>
  <si>
    <t>sptn</t>
  </si>
  <si>
    <t>int</t>
  </si>
  <si>
    <t>セキュリティパターン</t>
  </si>
  <si>
    <t>内部決算期</t>
  </si>
  <si>
    <t>ｾｷｭﾘﾃｨﾊﾟﾀｰﾝ</t>
  </si>
  <si>
    <t>財務部門</t>
  </si>
  <si>
    <t>szkm</t>
  </si>
  <si>
    <t>szbm</t>
  </si>
  <si>
    <t>科目内部コード</t>
    <rPh sb="2" eb="4">
      <t>ナイブ</t>
    </rPh>
    <phoneticPr fontId="1"/>
  </si>
  <si>
    <t>（期別）科目セキュリティ</t>
    <phoneticPr fontId="1"/>
  </si>
  <si>
    <t>ki_kamoku_security</t>
    <phoneticPr fontId="1"/>
  </si>
  <si>
    <t>（期別）部門セキュリティ</t>
  </si>
  <si>
    <t>ki_bumon_security</t>
    <phoneticPr fontId="1"/>
  </si>
  <si>
    <t>（期別）部門セキュリティ</t>
    <phoneticPr fontId="1"/>
  </si>
  <si>
    <t>bnam</t>
  </si>
  <si>
    <t>bcod</t>
  </si>
  <si>
    <t>集計部門コード</t>
  </si>
  <si>
    <t>NOT NULL</t>
    <phoneticPr fontId="1"/>
  </si>
  <si>
    <t>eTeam</t>
    <phoneticPr fontId="1"/>
  </si>
  <si>
    <t>OPEN21</t>
    <phoneticPr fontId="1"/>
  </si>
  <si>
    <t>（期別）集計部門</t>
    <rPh sb="4" eb="6">
      <t>シュウケイ</t>
    </rPh>
    <rPh sb="6" eb="8">
      <t>ブモン</t>
    </rPh>
    <phoneticPr fontId="1"/>
  </si>
  <si>
    <t>ki_syuukei_bumon</t>
    <phoneticPr fontId="1"/>
  </si>
  <si>
    <t>（期別）決算期</t>
    <rPh sb="4" eb="7">
      <t>ケッサンキ</t>
    </rPh>
    <phoneticPr fontId="1"/>
  </si>
  <si>
    <t>ki_kesn</t>
    <phoneticPr fontId="1"/>
  </si>
  <si>
    <t>（期別）決算期</t>
    <phoneticPr fontId="1"/>
  </si>
  <si>
    <t>（期別）科目</t>
  </si>
  <si>
    <t>ki_kamoku</t>
    <phoneticPr fontId="1"/>
  </si>
  <si>
    <t>（期別）科目</t>
    <phoneticPr fontId="1"/>
  </si>
  <si>
    <t>（期別）部門</t>
  </si>
  <si>
    <t>ki_bumon</t>
    <phoneticPr fontId="1"/>
  </si>
  <si>
    <t>（期別）部門</t>
    <phoneticPr fontId="1"/>
  </si>
  <si>
    <t>kesn</t>
    <phoneticPr fontId="1"/>
  </si>
  <si>
    <t>smallint</t>
    <phoneticPr fontId="1"/>
  </si>
  <si>
    <t>NOT NULL</t>
    <phoneticPr fontId="1"/>
  </si>
  <si>
    <t>ki</t>
    <phoneticPr fontId="1"/>
  </si>
  <si>
    <t>NOT NULL</t>
    <phoneticPr fontId="1"/>
  </si>
  <si>
    <t>symd</t>
    <phoneticPr fontId="1"/>
  </si>
  <si>
    <t>当月開始年月日</t>
    <phoneticPr fontId="1"/>
  </si>
  <si>
    <t>date</t>
    <phoneticPr fontId="1"/>
  </si>
  <si>
    <t>×</t>
    <phoneticPr fontId="1"/>
  </si>
  <si>
    <t>開始日</t>
    <rPh sb="0" eb="3">
      <t>カイシビ</t>
    </rPh>
    <phoneticPr fontId="1"/>
  </si>
  <si>
    <t>from_date</t>
    <phoneticPr fontId="1"/>
  </si>
  <si>
    <t>eymd</t>
    <phoneticPr fontId="1"/>
  </si>
  <si>
    <t>当月終了年月日</t>
    <rPh sb="0" eb="2">
      <t>トウゲツ</t>
    </rPh>
    <rPh sb="2" eb="4">
      <t>シュウリョウ</t>
    </rPh>
    <rPh sb="4" eb="7">
      <t>ネンガッピ</t>
    </rPh>
    <phoneticPr fontId="1"/>
  </si>
  <si>
    <t>終了日</t>
    <rPh sb="0" eb="3">
      <t>シュウリョウビ</t>
    </rPh>
    <phoneticPr fontId="1"/>
  </si>
  <si>
    <t>to_date</t>
    <phoneticPr fontId="1"/>
  </si>
  <si>
    <t>(0：翌、1：当、2：前、3：前々）</t>
    <rPh sb="15" eb="17">
      <t>マエマエ</t>
    </rPh>
    <phoneticPr fontId="1"/>
  </si>
  <si>
    <t>kicd</t>
    <phoneticPr fontId="1"/>
  </si>
  <si>
    <t>科目内部コード</t>
    <rPh sb="0" eb="2">
      <t>カモク</t>
    </rPh>
    <rPh sb="2" eb="4">
      <t>ナイブ</t>
    </rPh>
    <phoneticPr fontId="1"/>
  </si>
  <si>
    <t>varchar</t>
    <phoneticPr fontId="1"/>
  </si>
  <si>
    <t>×</t>
    <phoneticPr fontId="1"/>
  </si>
  <si>
    <t>kamoku_naibu_cd</t>
    <phoneticPr fontId="1"/>
  </si>
  <si>
    <t>kcod</t>
    <phoneticPr fontId="1"/>
  </si>
  <si>
    <t>科目外部コード</t>
    <rPh sb="0" eb="2">
      <t>カモク</t>
    </rPh>
    <rPh sb="2" eb="4">
      <t>ガイブ</t>
    </rPh>
    <phoneticPr fontId="1"/>
  </si>
  <si>
    <t>科目外部コード</t>
    <rPh sb="2" eb="4">
      <t>ガイブ</t>
    </rPh>
    <phoneticPr fontId="1"/>
  </si>
  <si>
    <t>kamoku_gaibu_cd</t>
    <phoneticPr fontId="1"/>
  </si>
  <si>
    <t>NOT NULL</t>
    <phoneticPr fontId="1"/>
  </si>
  <si>
    <t>knmx</t>
    <phoneticPr fontId="1"/>
  </si>
  <si>
    <t>科目名称(略式)</t>
    <rPh sb="0" eb="2">
      <t>カモク</t>
    </rPh>
    <rPh sb="2" eb="4">
      <t>メイショウ</t>
    </rPh>
    <rPh sb="5" eb="7">
      <t>リャクシキ</t>
    </rPh>
    <phoneticPr fontId="1"/>
  </si>
  <si>
    <t>varchar</t>
    <phoneticPr fontId="1"/>
  </si>
  <si>
    <t>科目名（略式）</t>
    <rPh sb="0" eb="2">
      <t>カモク</t>
    </rPh>
    <rPh sb="2" eb="3">
      <t>メイ</t>
    </rPh>
    <rPh sb="4" eb="6">
      <t>リャクシキ</t>
    </rPh>
    <phoneticPr fontId="1"/>
  </si>
  <si>
    <t>kamoku_name_ryakushiki</t>
    <phoneticPr fontId="1"/>
  </si>
  <si>
    <t>katt</t>
    <phoneticPr fontId="1"/>
  </si>
  <si>
    <t>貸借属性</t>
    <rPh sb="0" eb="2">
      <t>タイシャク</t>
    </rPh>
    <rPh sb="2" eb="4">
      <t>ゾクセイ</t>
    </rPh>
    <phoneticPr fontId="1"/>
  </si>
  <si>
    <t>smallint</t>
    <phoneticPr fontId="1"/>
  </si>
  <si>
    <t>×</t>
    <phoneticPr fontId="1"/>
  </si>
  <si>
    <t>taishaku_zokusei</t>
    <phoneticPr fontId="1"/>
  </si>
  <si>
    <t>0:借方、1:貸方</t>
    <rPh sb="2" eb="4">
      <t>カリカタ</t>
    </rPh>
    <rPh sb="7" eb="9">
      <t>カシカタ</t>
    </rPh>
    <phoneticPr fontId="1"/>
  </si>
  <si>
    <t>部門コード</t>
    <phoneticPr fontId="1"/>
  </si>
  <si>
    <t>futan_bumon_cd</t>
    <phoneticPr fontId="1"/>
  </si>
  <si>
    <t>部門名称</t>
    <rPh sb="2" eb="4">
      <t>メイショウ</t>
    </rPh>
    <phoneticPr fontId="1"/>
  </si>
  <si>
    <t>負担部門名</t>
    <rPh sb="4" eb="5">
      <t>メイ</t>
    </rPh>
    <phoneticPr fontId="1"/>
  </si>
  <si>
    <t>futan_bumon_name</t>
    <phoneticPr fontId="1"/>
  </si>
  <si>
    <t>sbcd</t>
    <phoneticPr fontId="1"/>
  </si>
  <si>
    <t>集計部門コード</t>
    <rPh sb="2" eb="4">
      <t>ブモン</t>
    </rPh>
    <phoneticPr fontId="1"/>
  </si>
  <si>
    <t>syuukei_bumon_cd</t>
    <phoneticPr fontId="1"/>
  </si>
  <si>
    <t>sbnam</t>
    <phoneticPr fontId="1"/>
  </si>
  <si>
    <t>集計部門名称</t>
    <rPh sb="0" eb="2">
      <t>シュウケイ</t>
    </rPh>
    <rPh sb="2" eb="4">
      <t>ブモン</t>
    </rPh>
    <rPh sb="4" eb="6">
      <t>メイショウ</t>
    </rPh>
    <phoneticPr fontId="1"/>
  </si>
  <si>
    <t>集計部門名</t>
    <rPh sb="0" eb="2">
      <t>シュウケイ</t>
    </rPh>
    <rPh sb="2" eb="4">
      <t>ブモン</t>
    </rPh>
    <phoneticPr fontId="1"/>
  </si>
  <si>
    <t>syuukei_bumon_name</t>
    <phoneticPr fontId="1"/>
  </si>
  <si>
    <t>futan_bumon_name</t>
    <phoneticPr fontId="1"/>
  </si>
  <si>
    <t>財務明細科目</t>
    <phoneticPr fontId="1"/>
  </si>
  <si>
    <t>KK01</t>
    <phoneticPr fontId="1"/>
  </si>
  <si>
    <t>仮勘定消込No使用フラグ</t>
    <rPh sb="0" eb="3">
      <t>カリカンジョウ</t>
    </rPh>
    <rPh sb="3" eb="5">
      <t>ケシコミ</t>
    </rPh>
    <phoneticPr fontId="1"/>
  </si>
  <si>
    <t>仮勘定消込No使用フラグ</t>
    <phoneticPr fontId="1"/>
  </si>
  <si>
    <t>karikanjou_keshikomi_no_flg</t>
    <phoneticPr fontId="1"/>
  </si>
  <si>
    <t>(select KI.KI AS KI, RTRIM(Z.TRCD) AS TRCD, Z.KICD AS KICD, T.TRMX AS TRMX, T.TRNAM AS TRNAM, RTRIM(K.KCOD) AS KCOD, K.KOCD AS KOCD, K.KNMX AS KNMX, K.KNAM AS KNAM, K.KATT AS KATT, 0 as K000 from AEXP.A_KI as KI join DBA.TRZAN as Z on Z.KESN = KI.KESN join DBA.TRNAM as T on T.TRCD = Z.TRCD join DBA.KNAME as K on K.KESN = Z.KESN and K.KICD = Z.KICD)</t>
    <phoneticPr fontId="1"/>
  </si>
  <si>
    <t>(SELECT KI.KI AS KI, RTRIM(D1.D1CD) AS UF1CD, D1.D1NR AS UF1NR FROM AEXP.A_KI KI JOIN DBA.D1TBL D1 ON D1.KESN = KI.KESN)</t>
    <phoneticPr fontId="1"/>
  </si>
  <si>
    <t>(select KI.KI AS KI, RTRIM(Z.D1CD) AS UF1CD, Z.KICD AS KICD, D.D1NR AS UF1NR, RTRIM(K.KCOD) AS KCOD, K.KOCD AS KOCD, K.KNMX AS KNMX, K.KNAM AS KNAM, K.KATT AS KATT, 0 as K000 from AEXP.A_KI as KI join DBA.D1ZAN as Z on Z.KESN = KI.KESN join DBA.D1TBL as D on D.KESN = Z.KESN and D.D1CD = Z.D1CD join DBA.KNAME as K on K.KESN = Z.KESN and K.KICD = Z.KICD)</t>
    <phoneticPr fontId="1"/>
  </si>
  <si>
    <t>(SELECT KI.KI AS KI, RTRIM(D2.D2CD) AS UF2CD, D2.D2NR AS UF2NR FROM AEXP.A_KI KI JOIN DBA.D2TBL D2 ON D2.KESN = KI.KESN)</t>
    <phoneticPr fontId="1"/>
  </si>
  <si>
    <t>(select KI.KI AS KI, RTRIM(Z.D2CD) AS UF2CD, Z.KICD AS KICD, D.D2NR AS UF2NR, RTRIM(K.KCOD) AS KCOD, K.KOCD AS KOCD, K.KNMX AS KNMX, K.KNAM AS KNAM, K.KATT AS KATT, 0 as K000 from AEXP.A_KI as KI join DBA.D2ZAN as Z on Z.KESN = KI.KESN join DBA.D2TBL as D on D.KESN = Z.KESN and D.D2CD = Z.D2CD join DBA.KNAME as K on K.KESN = Z.KESN and K.KICD = Z.KICD)</t>
    <phoneticPr fontId="1"/>
  </si>
  <si>
    <t>(SELECT KI.KI AS KI, RTRIM(D3.D3CD) AS UF3CD, D3.D3NR AS UF3NR FROM AEXP.A_KI KI JOIN DBA.D3TBL D3 ON D3.KESN = KI.KESN)</t>
    <phoneticPr fontId="1"/>
  </si>
  <si>
    <t>(select KI.KI AS KI, RTRIM(Z.D3CD) AS UF3CD, Z.KICD AS KICD, D.D3NR AS UF3NR, RTRIM(K.KCOD) AS KCOD, K.KOCD AS KOCD, K.KNMX AS KNMX, K.KNAM AS KNAM, K.KATT AS KATT, 0 as K000 from AEXP.A_KI as KI join DBA.D3ZAN as Z on Z.KESN = KI.KESN join DBA.D3TBL as D on D.KESN = Z.KESN and D.D3CD = Z.D3CD join DBA.KNAME as K on K.KESN = Z.KESN and K.KICD = Z.KICD)</t>
    <phoneticPr fontId="1"/>
  </si>
  <si>
    <t>(SELECT RTRIM(P.PRJECT) AS PRJECT, P.PRJNAMS AS PRJNAMS FROM DBA.PRPNM AS P WHERE P.CHKU = '0')</t>
    <phoneticPr fontId="1"/>
  </si>
  <si>
    <t>(SELECT DISTINCT
    kesn,
    ki,
    CAST(CAST(symd as CHAR(8)) AS DATE) as symd,
    CAST(CAST(eymd as CHAR(8)) AS DATE) as eymd
FROM
    (SELECT
        ki.KESN,
        v.*
    FROM aexp.a_ki ki
    JOIN aexp.a_volum2 v ON
        ki.ki = v.ki
    WHERE
        RIGHT(v.symd, 2) &lt;&gt; '00' AND
        RIGHT(v.eymd, 2) &lt;&gt; '00'
    ) t
)</t>
    <phoneticPr fontId="1"/>
  </si>
  <si>
    <t>(SELECT
    kmk.kesn,
    RTRIM(kmk.kicd) AS kicd,
    RTRIM(kmk.kcod) AS kcod,
    kmk.knmx,
    kmk.katt
FROM aexp.a_ki AS ki
JOIN kname AS kmk ON 
    kmk.kesn = ki.kesn
WHERE
    ki.ki in (0, 1, 2, 3)
)</t>
    <phoneticPr fontId="1"/>
  </si>
  <si>
    <t>(SELECT
    eda.kesn,
    RTRIM(eda.kicd) AS kicd,
    RTRIM(eda.ecod) AS ecod,
    eda.enam
FROM aexp.a_ki AS ki
JOIN ename as eda ON
    eda.kesn = ki.kesn
WHERE
    ki.ki in (0, 1, 2, 3)
)</t>
    <phoneticPr fontId="1"/>
  </si>
  <si>
    <t>（期別）科目枝番</t>
  </si>
  <si>
    <t>（期別）科目枝番</t>
    <rPh sb="6" eb="8">
      <t>エダバン</t>
    </rPh>
    <phoneticPr fontId="1"/>
  </si>
  <si>
    <t>（期別）科目枝番</t>
    <phoneticPr fontId="1"/>
  </si>
  <si>
    <t>（期別）科目枝番</t>
    <phoneticPr fontId="1"/>
  </si>
  <si>
    <t>ki_kamoku_edaban</t>
    <phoneticPr fontId="1"/>
  </si>
  <si>
    <t>（期別）決算期</t>
  </si>
  <si>
    <t>（期別）集計部門</t>
  </si>
  <si>
    <t>（期別）科目セキュリティ</t>
  </si>
  <si>
    <t>ecod</t>
    <phoneticPr fontId="1"/>
  </si>
  <si>
    <t>枝番コード</t>
    <rPh sb="0" eb="2">
      <t>エダバン</t>
    </rPh>
    <phoneticPr fontId="1"/>
  </si>
  <si>
    <t>科目枝番コード</t>
    <rPh sb="0" eb="2">
      <t>カモク</t>
    </rPh>
    <phoneticPr fontId="1"/>
  </si>
  <si>
    <t>kamoku_edaban_cd</t>
    <phoneticPr fontId="1"/>
  </si>
  <si>
    <t>enam</t>
    <phoneticPr fontId="1"/>
  </si>
  <si>
    <t>枝番名称</t>
    <rPh sb="0" eb="1">
      <t>エダ</t>
    </rPh>
    <rPh sb="1" eb="2">
      <t>バン</t>
    </rPh>
    <rPh sb="2" eb="4">
      <t>メイショウ</t>
    </rPh>
    <phoneticPr fontId="1"/>
  </si>
  <si>
    <t>枝番名</t>
    <rPh sb="0" eb="1">
      <t>エダ</t>
    </rPh>
    <rPh sb="1" eb="2">
      <t>バン</t>
    </rPh>
    <rPh sb="2" eb="3">
      <t>メイ</t>
    </rPh>
    <phoneticPr fontId="1"/>
  </si>
  <si>
    <t>edaban_name</t>
    <phoneticPr fontId="1"/>
  </si>
  <si>
    <t>(SELECT 
    bmn.kesn, 
    RTRIM(bmn.bcod) AS bcod, 
    bmn.bnam, 
    RTRIM(stb.bcd1) AS bcd1 
FROM aexp.a_ki AS ki 
JOIN bname AS bmn ON 
    bmn.kesn = ki.kesn 
JOIN sstbl AS stb ON 
    bmn.kesn = stb.kesn 
    AND bmn.bcod = stb.bcd2 
WHERE 
    ki.ki in (0, 1, 2, 3) 
)</t>
    <phoneticPr fontId="1"/>
  </si>
  <si>
    <t>bcd1</t>
    <phoneticPr fontId="1"/>
  </si>
  <si>
    <t>上位部門</t>
    <rPh sb="0" eb="2">
      <t>ジョウイ</t>
    </rPh>
    <rPh sb="2" eb="4">
      <t>ブモン</t>
    </rPh>
    <phoneticPr fontId="1"/>
  </si>
  <si>
    <t>親集計部門コード</t>
    <rPh sb="0" eb="1">
      <t>オヤ</t>
    </rPh>
    <rPh sb="1" eb="3">
      <t>シュウケイ</t>
    </rPh>
    <rPh sb="3" eb="5">
      <t>ブモン</t>
    </rPh>
    <phoneticPr fontId="1"/>
  </si>
  <si>
    <t>oya_syuukei_bumon_cd</t>
    <phoneticPr fontId="1"/>
  </si>
  <si>
    <t>部門科目予算</t>
    <rPh sb="4" eb="6">
      <t>ヨサン</t>
    </rPh>
    <phoneticPr fontId="1"/>
  </si>
  <si>
    <t>bumon_kamoku_yosan</t>
    <phoneticPr fontId="1"/>
  </si>
  <si>
    <t>部門科目予算</t>
    <rPh sb="0" eb="2">
      <t>ブモン</t>
    </rPh>
    <rPh sb="2" eb="4">
      <t>カモク</t>
    </rPh>
    <rPh sb="4" eb="6">
      <t>ヨサン</t>
    </rPh>
    <phoneticPr fontId="1"/>
  </si>
  <si>
    <t>部門科目枝番残高</t>
    <rPh sb="4" eb="6">
      <t>エダバン</t>
    </rPh>
    <phoneticPr fontId="1"/>
  </si>
  <si>
    <t>bumon_kamoku_edaban_zandaka</t>
    <phoneticPr fontId="1"/>
  </si>
  <si>
    <t>部門科目枝番残高</t>
    <rPh sb="0" eb="2">
      <t>ブモン</t>
    </rPh>
    <rPh sb="2" eb="4">
      <t>カモク</t>
    </rPh>
    <rPh sb="6" eb="8">
      <t>ザンダカ</t>
    </rPh>
    <phoneticPr fontId="1"/>
  </si>
  <si>
    <t>部門科目枝番予算</t>
    <rPh sb="4" eb="6">
      <t>エダバン</t>
    </rPh>
    <rPh sb="6" eb="8">
      <t>ヨサン</t>
    </rPh>
    <phoneticPr fontId="1"/>
  </si>
  <si>
    <t>bumon_kamoku_edaban_yosan</t>
    <phoneticPr fontId="1"/>
  </si>
  <si>
    <t>部門科目枝番予算</t>
    <rPh sb="0" eb="2">
      <t>ブモン</t>
    </rPh>
    <rPh sb="2" eb="4">
      <t>カモク</t>
    </rPh>
    <rPh sb="6" eb="8">
      <t>ヨサン</t>
    </rPh>
    <phoneticPr fontId="1"/>
  </si>
  <si>
    <t>集計部門</t>
    <rPh sb="0" eb="2">
      <t>シュウケイ</t>
    </rPh>
    <phoneticPr fontId="1"/>
  </si>
  <si>
    <t>集計部門マスター</t>
    <rPh sb="0" eb="2">
      <t>シュウケイ</t>
    </rPh>
    <rPh sb="2" eb="4">
      <t>ブモン</t>
    </rPh>
    <phoneticPr fontId="1"/>
  </si>
  <si>
    <t>syuukei_bumon</t>
    <phoneticPr fontId="1"/>
  </si>
  <si>
    <t>集計部門</t>
    <phoneticPr fontId="1"/>
  </si>
  <si>
    <t>y010</t>
    <phoneticPr fontId="1"/>
  </si>
  <si>
    <t>1ｹ月目予算</t>
    <rPh sb="4" eb="6">
      <t>ヨサン</t>
    </rPh>
    <phoneticPr fontId="1"/>
  </si>
  <si>
    <t>19,0</t>
    <phoneticPr fontId="1"/>
  </si>
  <si>
    <t>yosan_01</t>
    <phoneticPr fontId="1"/>
  </si>
  <si>
    <t>decimal</t>
    <phoneticPr fontId="1"/>
  </si>
  <si>
    <t>y020</t>
    <phoneticPr fontId="1"/>
  </si>
  <si>
    <t>2ｹ月目予算</t>
    <phoneticPr fontId="1"/>
  </si>
  <si>
    <t>yosan_02</t>
  </si>
  <si>
    <t>y030</t>
    <phoneticPr fontId="1"/>
  </si>
  <si>
    <t>3ｹ月目予算</t>
    <rPh sb="4" eb="6">
      <t>ヨサン</t>
    </rPh>
    <phoneticPr fontId="1"/>
  </si>
  <si>
    <t>yosan_03</t>
  </si>
  <si>
    <t>y035</t>
    <phoneticPr fontId="1"/>
  </si>
  <si>
    <t>3ｹ月目修正予算</t>
    <phoneticPr fontId="1"/>
  </si>
  <si>
    <t>yosan_03_shu</t>
    <phoneticPr fontId="1"/>
  </si>
  <si>
    <t>y040</t>
  </si>
  <si>
    <t>4ｹ月目予算</t>
  </si>
  <si>
    <t>yosan_04</t>
  </si>
  <si>
    <t>y050</t>
  </si>
  <si>
    <t>5ｹ月目予算</t>
    <rPh sb="4" eb="6">
      <t>ヨサン</t>
    </rPh>
    <phoneticPr fontId="1"/>
  </si>
  <si>
    <t>yosan_05</t>
  </si>
  <si>
    <t>y060</t>
  </si>
  <si>
    <t>6ｹ月目予算</t>
    <phoneticPr fontId="1"/>
  </si>
  <si>
    <t>6ｹ月目予算</t>
  </si>
  <si>
    <t>yosan_06</t>
  </si>
  <si>
    <t>y065</t>
    <phoneticPr fontId="1"/>
  </si>
  <si>
    <t>6ｹ月目修正予算</t>
    <phoneticPr fontId="1"/>
  </si>
  <si>
    <t>yosan_06_shu</t>
    <phoneticPr fontId="1"/>
  </si>
  <si>
    <t>y070</t>
  </si>
  <si>
    <t>7ｹ月目予算</t>
    <rPh sb="4" eb="6">
      <t>ヨサン</t>
    </rPh>
    <phoneticPr fontId="1"/>
  </si>
  <si>
    <t>yosan_07</t>
  </si>
  <si>
    <t>y080</t>
  </si>
  <si>
    <t>8ｹ月目予算</t>
  </si>
  <si>
    <t>yosan_08</t>
  </si>
  <si>
    <t>y090</t>
  </si>
  <si>
    <t>9ｹ月目予算</t>
    <rPh sb="4" eb="6">
      <t>ヨサン</t>
    </rPh>
    <phoneticPr fontId="1"/>
  </si>
  <si>
    <t>yosan_09</t>
  </si>
  <si>
    <t>y095</t>
    <phoneticPr fontId="1"/>
  </si>
  <si>
    <t>9ｹ月目修正予算</t>
    <phoneticPr fontId="1"/>
  </si>
  <si>
    <t>yosan_09_shu</t>
    <phoneticPr fontId="1"/>
  </si>
  <si>
    <t>y100</t>
  </si>
  <si>
    <t>10ｹ月目予算</t>
  </si>
  <si>
    <t>yosan_10</t>
  </si>
  <si>
    <t>y110</t>
  </si>
  <si>
    <t>11ｹ月目予算</t>
    <rPh sb="5" eb="7">
      <t>ヨサン</t>
    </rPh>
    <phoneticPr fontId="1"/>
  </si>
  <si>
    <t>yosan_11</t>
  </si>
  <si>
    <t>y120</t>
    <phoneticPr fontId="1"/>
  </si>
  <si>
    <t>12ｹ月目予算</t>
  </si>
  <si>
    <t>yosan_12</t>
  </si>
  <si>
    <t>y125</t>
    <phoneticPr fontId="1"/>
  </si>
  <si>
    <t>12ｹ月目修正予算</t>
    <rPh sb="5" eb="7">
      <t>シュウセイ</t>
    </rPh>
    <phoneticPr fontId="1"/>
  </si>
  <si>
    <t>12ｹ月目修正予算</t>
    <phoneticPr fontId="1"/>
  </si>
  <si>
    <t>yosan_12_shu</t>
    <phoneticPr fontId="1"/>
  </si>
  <si>
    <t>ECOD</t>
    <phoneticPr fontId="1"/>
  </si>
  <si>
    <t>char</t>
    <phoneticPr fontId="1"/>
  </si>
  <si>
    <t>edaban_code</t>
    <phoneticPr fontId="1"/>
  </si>
  <si>
    <t>r000</t>
    <phoneticPr fontId="1"/>
  </si>
  <si>
    <t>期首残高(借方)</t>
    <phoneticPr fontId="1"/>
  </si>
  <si>
    <t>zandaka_kari00</t>
    <phoneticPr fontId="1"/>
  </si>
  <si>
    <t>s000</t>
    <phoneticPr fontId="1"/>
  </si>
  <si>
    <t>期首残高(貸方)</t>
    <rPh sb="5" eb="6">
      <t>カ</t>
    </rPh>
    <phoneticPr fontId="1"/>
  </si>
  <si>
    <t>zandaka_kashi00</t>
    <phoneticPr fontId="1"/>
  </si>
  <si>
    <t>r010</t>
    <phoneticPr fontId="1"/>
  </si>
  <si>
    <t>1ｹ月目(借)</t>
    <phoneticPr fontId="1"/>
  </si>
  <si>
    <t>zandaka_kari01</t>
    <phoneticPr fontId="1"/>
  </si>
  <si>
    <t>s010</t>
    <phoneticPr fontId="1"/>
  </si>
  <si>
    <t>1ｹ月目(貸)</t>
    <phoneticPr fontId="1"/>
  </si>
  <si>
    <t>zandaka_kashi01</t>
    <phoneticPr fontId="1"/>
  </si>
  <si>
    <t>r020</t>
    <phoneticPr fontId="1"/>
  </si>
  <si>
    <t>2ｹ月目(借)</t>
    <phoneticPr fontId="1"/>
  </si>
  <si>
    <t>zandaka_kari02</t>
  </si>
  <si>
    <t>s020</t>
    <phoneticPr fontId="1"/>
  </si>
  <si>
    <t>2ｹ月目(貸)</t>
  </si>
  <si>
    <t>zandaka_kashi02</t>
    <phoneticPr fontId="1"/>
  </si>
  <si>
    <t>r030</t>
  </si>
  <si>
    <t>3ｹ月目(借)</t>
  </si>
  <si>
    <t>zandaka_kari03</t>
  </si>
  <si>
    <t>s030</t>
    <phoneticPr fontId="1"/>
  </si>
  <si>
    <t>3ｹ月目(貸)</t>
  </si>
  <si>
    <t>zandaka_kashi03</t>
  </si>
  <si>
    <t>r035</t>
    <phoneticPr fontId="1"/>
  </si>
  <si>
    <t>3ｹ月目修正(借)</t>
    <phoneticPr fontId="1"/>
  </si>
  <si>
    <t>zandaka_kari03_shu</t>
    <phoneticPr fontId="1"/>
  </si>
  <si>
    <t>s035</t>
    <phoneticPr fontId="1"/>
  </si>
  <si>
    <t>3ｹ月目修正(貸)</t>
    <phoneticPr fontId="1"/>
  </si>
  <si>
    <t>zandaka_kashi03_shu</t>
    <phoneticPr fontId="1"/>
  </si>
  <si>
    <t>r040</t>
  </si>
  <si>
    <t>4ｹ月目(借)</t>
  </si>
  <si>
    <t>zandaka_kari04</t>
  </si>
  <si>
    <t>s040</t>
    <phoneticPr fontId="1"/>
  </si>
  <si>
    <t>4ｹ月目(貸)</t>
  </si>
  <si>
    <t>zandaka_kashi04</t>
  </si>
  <si>
    <t>r050</t>
  </si>
  <si>
    <t>5ｹ月目(借)</t>
  </si>
  <si>
    <t>zandaka_kari05</t>
  </si>
  <si>
    <t>s050</t>
    <phoneticPr fontId="1"/>
  </si>
  <si>
    <t>5ｹ月目(貸)</t>
  </si>
  <si>
    <t>zandaka_kashi05</t>
  </si>
  <si>
    <t>r060</t>
  </si>
  <si>
    <t>6ｹ月目(借)</t>
  </si>
  <si>
    <t>zandaka_kari06</t>
  </si>
  <si>
    <t>s060</t>
    <phoneticPr fontId="1"/>
  </si>
  <si>
    <t>6ｹ月目(貸)</t>
  </si>
  <si>
    <t>zandaka_kashi06</t>
  </si>
  <si>
    <t>r065</t>
    <phoneticPr fontId="1"/>
  </si>
  <si>
    <t>6ｹ月目修正(借)</t>
    <phoneticPr fontId="1"/>
  </si>
  <si>
    <t>zandaka_kari06_shu</t>
    <phoneticPr fontId="1"/>
  </si>
  <si>
    <t>s065</t>
    <phoneticPr fontId="1"/>
  </si>
  <si>
    <t>6ｹ月目修正(貸)</t>
    <phoneticPr fontId="1"/>
  </si>
  <si>
    <t>zandaka_kashi06_shu</t>
    <phoneticPr fontId="1"/>
  </si>
  <si>
    <t>r070</t>
  </si>
  <si>
    <t>7ｹ月目(借)</t>
  </si>
  <si>
    <t>zandaka_kari07</t>
  </si>
  <si>
    <t>s070</t>
    <phoneticPr fontId="1"/>
  </si>
  <si>
    <t>7ｹ月目(貸)</t>
  </si>
  <si>
    <t>zandaka_kashi07</t>
  </si>
  <si>
    <t>r080</t>
  </si>
  <si>
    <t>8ｹ月目(借)</t>
  </si>
  <si>
    <t>zandaka_kari08</t>
  </si>
  <si>
    <t>s080</t>
    <phoneticPr fontId="1"/>
  </si>
  <si>
    <t>8ｹ月目(貸)</t>
  </si>
  <si>
    <t>zandaka_kashi08</t>
  </si>
  <si>
    <t>r090</t>
  </si>
  <si>
    <t>9ｹ月目(借)</t>
  </si>
  <si>
    <t>zandaka_kari09</t>
  </si>
  <si>
    <t>s090</t>
    <phoneticPr fontId="1"/>
  </si>
  <si>
    <t>9ｹ月目(貸)</t>
  </si>
  <si>
    <t>zandaka_kashi09</t>
  </si>
  <si>
    <t>r095</t>
    <phoneticPr fontId="1"/>
  </si>
  <si>
    <t>9ｹ月目修正(借)</t>
    <phoneticPr fontId="1"/>
  </si>
  <si>
    <t>zandaka_kari09_shu</t>
    <phoneticPr fontId="1"/>
  </si>
  <si>
    <t>s095</t>
    <phoneticPr fontId="1"/>
  </si>
  <si>
    <t>9ｹ月目修正(貸)</t>
    <phoneticPr fontId="1"/>
  </si>
  <si>
    <t>zandaka_kashi09_shu</t>
    <phoneticPr fontId="1"/>
  </si>
  <si>
    <t>r100</t>
  </si>
  <si>
    <t>10ｹ月目(借)</t>
  </si>
  <si>
    <t>zandaka_kari10</t>
  </si>
  <si>
    <t>s100</t>
    <phoneticPr fontId="1"/>
  </si>
  <si>
    <t>10ｹ月目(貸)</t>
  </si>
  <si>
    <t>zandaka_kashi10</t>
  </si>
  <si>
    <t>r110</t>
  </si>
  <si>
    <t>11ｹ月目(借)</t>
  </si>
  <si>
    <t>zandaka_kari11</t>
  </si>
  <si>
    <t>11ｹ月目(貸)</t>
  </si>
  <si>
    <t>zandaka_kashi11</t>
  </si>
  <si>
    <t>r120</t>
  </si>
  <si>
    <t>12ｹ月目(借)</t>
  </si>
  <si>
    <t>zandaka_kari12</t>
  </si>
  <si>
    <t>s120</t>
    <phoneticPr fontId="1"/>
  </si>
  <si>
    <t>12ｹ月目(貸)</t>
  </si>
  <si>
    <t>zandaka_kashi12</t>
  </si>
  <si>
    <t>r125</t>
    <phoneticPr fontId="1"/>
  </si>
  <si>
    <t>12ｹ月目修正(借)</t>
    <phoneticPr fontId="1"/>
  </si>
  <si>
    <t>zandaka_kari12_shu</t>
    <phoneticPr fontId="1"/>
  </si>
  <si>
    <t>s125</t>
    <phoneticPr fontId="1"/>
  </si>
  <si>
    <t>12ｹ月目修正(貸)</t>
    <phoneticPr fontId="1"/>
  </si>
  <si>
    <t>zandaka_kashi12_shu</t>
    <phoneticPr fontId="1"/>
  </si>
  <si>
    <t>部門科目枝番予算</t>
    <rPh sb="0" eb="2">
      <t>ブモン</t>
    </rPh>
    <rPh sb="2" eb="4">
      <t>カモク</t>
    </rPh>
    <rPh sb="4" eb="6">
      <t>エダバン</t>
    </rPh>
    <rPh sb="6" eb="8">
      <t>ヨサン</t>
    </rPh>
    <phoneticPr fontId="1"/>
  </si>
  <si>
    <t>集計部門コード</t>
    <rPh sb="0" eb="2">
      <t>シュウケイ</t>
    </rPh>
    <phoneticPr fontId="1"/>
  </si>
  <si>
    <t>集計部門名</t>
    <rPh sb="0" eb="2">
      <t>シュウケイ</t>
    </rPh>
    <phoneticPr fontId="1"/>
  </si>
  <si>
    <t>拡張仕訳</t>
    <rPh sb="2" eb="4">
      <t>シワケ</t>
    </rPh>
    <phoneticPr fontId="1"/>
  </si>
  <si>
    <t>（期別）部署入出力仕訳</t>
    <rPh sb="1" eb="3">
      <t>キベツ</t>
    </rPh>
    <rPh sb="4" eb="6">
      <t>ブショ</t>
    </rPh>
    <rPh sb="6" eb="9">
      <t>ニュウシュツリョク</t>
    </rPh>
    <rPh sb="9" eb="11">
      <t>シワケ</t>
    </rPh>
    <phoneticPr fontId="1"/>
  </si>
  <si>
    <t>ki_busho_shiwake</t>
    <phoneticPr fontId="1"/>
  </si>
  <si>
    <t>（期別）部署入出力仕訳</t>
    <phoneticPr fontId="1"/>
  </si>
  <si>
    <t>sbmn</t>
  </si>
  <si>
    <t>貸方部門</t>
  </si>
  <si>
    <t>seda</t>
    <phoneticPr fontId="1"/>
  </si>
  <si>
    <t>貸方枝番</t>
    <phoneticPr fontId="1"/>
  </si>
  <si>
    <t>貸方枝番</t>
    <rPh sb="2" eb="4">
      <t>エダバン</t>
    </rPh>
    <phoneticPr fontId="1"/>
  </si>
  <si>
    <t>skmk</t>
  </si>
  <si>
    <t>貸方科目</t>
  </si>
  <si>
    <t>rbmn</t>
  </si>
  <si>
    <t>借方部門</t>
  </si>
  <si>
    <t>reda</t>
    <phoneticPr fontId="1"/>
  </si>
  <si>
    <t>借方枝番</t>
    <phoneticPr fontId="1"/>
  </si>
  <si>
    <t>借方枝番</t>
    <rPh sb="2" eb="4">
      <t>エダバン</t>
    </rPh>
    <phoneticPr fontId="1"/>
  </si>
  <si>
    <t>rkmk</t>
  </si>
  <si>
    <t>借方科目</t>
  </si>
  <si>
    <t>valu</t>
  </si>
  <si>
    <t>金額</t>
  </si>
  <si>
    <t>dcno</t>
    <phoneticPr fontId="1"/>
  </si>
  <si>
    <t>伝票番号</t>
    <rPh sb="0" eb="2">
      <t>デンピョウ</t>
    </rPh>
    <rPh sb="2" eb="4">
      <t>バンゴウ</t>
    </rPh>
    <phoneticPr fontId="1"/>
  </si>
  <si>
    <t>dymd</t>
  </si>
  <si>
    <t>伝票日付</t>
  </si>
  <si>
    <t>sseq</t>
  </si>
  <si>
    <t>仕訳SEQ</t>
  </si>
  <si>
    <t>dseq</t>
  </si>
  <si>
    <t>伝票SEQ</t>
  </si>
  <si>
    <t>dkei</t>
  </si>
  <si>
    <t>経過月</t>
  </si>
  <si>
    <t>セグメントマスター</t>
    <phoneticPr fontId="1"/>
  </si>
  <si>
    <t>segment_master</t>
    <phoneticPr fontId="1"/>
  </si>
  <si>
    <t>セグメント科目残高</t>
    <rPh sb="5" eb="7">
      <t>カモク</t>
    </rPh>
    <phoneticPr fontId="1"/>
  </si>
  <si>
    <t>segment_kamoku_zandaka</t>
    <phoneticPr fontId="1"/>
  </si>
  <si>
    <t>segment_name_seishiki</t>
  </si>
  <si>
    <t>セグメント名（正式）</t>
    <phoneticPr fontId="1"/>
  </si>
  <si>
    <t>セグメント名称（正式）</t>
    <phoneticPr fontId="1"/>
  </si>
  <si>
    <t>SGNM</t>
    <phoneticPr fontId="1"/>
  </si>
  <si>
    <t>segment_name_ryakushiki</t>
  </si>
  <si>
    <t>セグメント名（略式）</t>
    <phoneticPr fontId="1"/>
  </si>
  <si>
    <t>セグメント名称（略式）</t>
    <phoneticPr fontId="1"/>
  </si>
  <si>
    <t>SGNR</t>
    <phoneticPr fontId="1"/>
  </si>
  <si>
    <t>segment_cd</t>
  </si>
  <si>
    <t>セグメントコード</t>
    <phoneticPr fontId="1"/>
  </si>
  <si>
    <t>SGCD</t>
    <phoneticPr fontId="1"/>
  </si>
  <si>
    <t>segment_cd</t>
    <phoneticPr fontId="1"/>
  </si>
  <si>
    <t>(SELECT KI.KI AS KI, RTRIM(S.SGCD) AS SGCD, S.SGNR AS SGNR, S.SGNM AS SGNM, S.SGLD AS SGLD FROM AEXP.A_KI AS KI JOIN dba.SGTBL S ON S.KESN = KI.KESN)</t>
    <phoneticPr fontId="1"/>
  </si>
  <si>
    <t xml:space="preserve">(select
   KI.KI AS KI
  ,RTRIM(Z.SGCD) AS SGCD
  ,Z.KICD AS KICD
  ,S.SGNR AS SGNR
  ,S.SGNM AS SGNM
  ,RTRIM(K.KCOD) AS KCOD
  ,K.KOCD AS KOCD
  ,K.KNMX AS KNMX
  ,K.KNAM AS KNAM
  ,K.KATT AS KATT
  ,0 as K000 
from AEXP.A_KI as KI 
join dba.SGKZAN as Z on 
  Z.KESN = KI.KESN 
join dba.SGTBL as S on 
  S.KESN = Z.KESN
  and S.SGCD = Z.SGCD 
join dba.KNAME as K on 
  K.KESN = Z.KESN 
  and K.KICD = Z.KICD
) </t>
    <phoneticPr fontId="1"/>
  </si>
  <si>
    <t>ユニバーサルフィールド４未入力チェック</t>
  </si>
  <si>
    <t>uf4_minyuuryoku_check</t>
  </si>
  <si>
    <t>ユニバーサルフィールド５未入力チェック</t>
  </si>
  <si>
    <t>uf5_minyuuryoku_check</t>
  </si>
  <si>
    <t>ユニバーサルフィールド６未入力チェック</t>
  </si>
  <si>
    <t>uf6_minyuuryoku_check</t>
  </si>
  <si>
    <t>ユニバーサルフィールド７未入力チェック</t>
  </si>
  <si>
    <t>uf7_minyuuryoku_check</t>
  </si>
  <si>
    <t>ユニバーサルフィールド８未入力チェック</t>
  </si>
  <si>
    <t>uf8_minyuuryoku_check</t>
  </si>
  <si>
    <t>ユニバーサルフィールド９未入力チェック</t>
  </si>
  <si>
    <t>uf9_minyuuryoku_check</t>
  </si>
  <si>
    <t>ユニバーサルフィールド１０未入力チェック</t>
  </si>
  <si>
    <t>uf10_minyuuryoku_check</t>
  </si>
  <si>
    <t>ユニバーサルフィールド１未入力チェック(固定値)</t>
    <phoneticPr fontId="1"/>
  </si>
  <si>
    <t>ユニバーサルフィールド１未入力チェック(固定値)</t>
  </si>
  <si>
    <t>uf_kotei1_minyuuryoku_check</t>
  </si>
  <si>
    <t>ユニバーサルフィールド２未入力チェック(固定値)</t>
  </si>
  <si>
    <t>uf_kotei2_minyuuryoku_check</t>
  </si>
  <si>
    <t>ユニバーサルフィールド３未入力チェック(固定値)</t>
  </si>
  <si>
    <t>uf_kotei3_minyuuryoku_check</t>
  </si>
  <si>
    <t>ユニバーサルフィールド４未入力チェック(固定値)</t>
  </si>
  <si>
    <t>uf_kotei4_minyuuryoku_check</t>
  </si>
  <si>
    <t>ユニバーサルフィールド５未入力チェック(固定値)</t>
  </si>
  <si>
    <t>uf_kotei5_minyuuryoku_check</t>
  </si>
  <si>
    <t>ユニバーサルフィールド６未入力チェック(固定値)</t>
  </si>
  <si>
    <t>uf_kotei6_minyuuryoku_check</t>
  </si>
  <si>
    <t>ユニバーサルフィールド７未入力チェック(固定値)</t>
  </si>
  <si>
    <t>uf_kotei7_minyuuryoku_check</t>
  </si>
  <si>
    <t>ユニバーサルフィールド８未入力チェック(固定値)</t>
  </si>
  <si>
    <t>uf_kotei8_minyuuryoku_check</t>
  </si>
  <si>
    <t>ユニバーサルフィールド９未入力チェック(固定値)</t>
  </si>
  <si>
    <t>uf_kotei9_minyuuryoku_check</t>
  </si>
  <si>
    <t>ユニバーサルフィールド１０未入力チェック(固定値)</t>
  </si>
  <si>
    <t>uf_kotei10_minyuuryoku_check</t>
  </si>
  <si>
    <t>HF4コード使用ﾌﾗｸﾞ</t>
  </si>
  <si>
    <t>ヘッダーフィールド4使用フラグ</t>
  </si>
  <si>
    <t>hf4_shiyou_flg</t>
  </si>
  <si>
    <t>HF4必須フラグ</t>
    <rPh sb="3" eb="5">
      <t>ヒッス</t>
    </rPh>
    <phoneticPr fontId="1"/>
  </si>
  <si>
    <t>ヘッダーフィールド4必須フラグ</t>
  </si>
  <si>
    <t>hf4_hissu_flg</t>
  </si>
  <si>
    <t>HF4コード名称</t>
  </si>
  <si>
    <t>ヘッダーフィールド4名称</t>
  </si>
  <si>
    <t>hf4_name</t>
  </si>
  <si>
    <t>HF5コード使用ﾌﾗｸﾞ</t>
  </si>
  <si>
    <t>ヘッダーフィールド5使用フラグ</t>
  </si>
  <si>
    <t>hf5_shiyou_flg</t>
  </si>
  <si>
    <t>HF5必須フラグ</t>
    <rPh sb="3" eb="5">
      <t>ヒッス</t>
    </rPh>
    <phoneticPr fontId="1"/>
  </si>
  <si>
    <t>ヘッダーフィールド5必須フラグ</t>
  </si>
  <si>
    <t>hf5_hissu_flg</t>
  </si>
  <si>
    <t>HF5コード名称</t>
  </si>
  <si>
    <t>ヘッダーフィールド5名称</t>
  </si>
  <si>
    <t>hf5_name</t>
  </si>
  <si>
    <t>HF6コード使用ﾌﾗｸﾞ</t>
  </si>
  <si>
    <t>ヘッダーフィールド6使用フラグ</t>
  </si>
  <si>
    <t>hf6_shiyou_flg</t>
  </si>
  <si>
    <t>HF6必須フラグ</t>
    <rPh sb="3" eb="5">
      <t>ヒッス</t>
    </rPh>
    <phoneticPr fontId="1"/>
  </si>
  <si>
    <t>ヘッダーフィールド6必須フラグ</t>
  </si>
  <si>
    <t>hf6_hissu_flg</t>
  </si>
  <si>
    <t>HF6コード名称</t>
  </si>
  <si>
    <t>ヘッダーフィールド6名称</t>
  </si>
  <si>
    <t>hf6_name</t>
  </si>
  <si>
    <t>HF7コード使用ﾌﾗｸﾞ</t>
  </si>
  <si>
    <t>ヘッダーフィールド7使用フラグ</t>
  </si>
  <si>
    <t>hf7_shiyou_flg</t>
  </si>
  <si>
    <t>HF7必須フラグ</t>
    <rPh sb="3" eb="5">
      <t>ヒッス</t>
    </rPh>
    <phoneticPr fontId="1"/>
  </si>
  <si>
    <t>ヘッダーフィールド7必須フラグ</t>
  </si>
  <si>
    <t>hf7_hissu_flg</t>
  </si>
  <si>
    <t>HF7コード名称</t>
  </si>
  <si>
    <t>ヘッダーフィールド7名称</t>
  </si>
  <si>
    <t>hf7_name</t>
  </si>
  <si>
    <t>HF8コード使用ﾌﾗｸﾞ</t>
  </si>
  <si>
    <t>ヘッダーフィールド8使用フラグ</t>
  </si>
  <si>
    <t>hf8_shiyou_flg</t>
  </si>
  <si>
    <t>HF8必須フラグ</t>
    <rPh sb="3" eb="5">
      <t>ヒッス</t>
    </rPh>
    <phoneticPr fontId="1"/>
  </si>
  <si>
    <t>ヘッダーフィールド8必須フラグ</t>
  </si>
  <si>
    <t>hf8_hissu_flg</t>
  </si>
  <si>
    <t>HF8コード名称</t>
  </si>
  <si>
    <t>ヘッダーフィールド8名称</t>
  </si>
  <si>
    <t>hf8_name</t>
  </si>
  <si>
    <t>HF9コード使用ﾌﾗｸﾞ</t>
  </si>
  <si>
    <t>ヘッダーフィールド9使用フラグ</t>
  </si>
  <si>
    <t>hf9_shiyou_flg</t>
  </si>
  <si>
    <t>HF9必須フラグ</t>
    <rPh sb="3" eb="5">
      <t>ヒッス</t>
    </rPh>
    <phoneticPr fontId="1"/>
  </si>
  <si>
    <t>ヘッダーフィールド9必須フラグ</t>
  </si>
  <si>
    <t>hf9_hissu_flg</t>
  </si>
  <si>
    <t>HF9コード名称</t>
  </si>
  <si>
    <t>ヘッダーフィールド9名称</t>
  </si>
  <si>
    <t>hf9_name</t>
  </si>
  <si>
    <t>HF10コード使用ﾌﾗｸﾞ</t>
  </si>
  <si>
    <t>ヘッダーフィールド10使用フラグ</t>
  </si>
  <si>
    <t>hf10_shiyou_flg</t>
  </si>
  <si>
    <t>HF10必須フラグ</t>
    <rPh sb="4" eb="6">
      <t>ヒッス</t>
    </rPh>
    <phoneticPr fontId="1"/>
  </si>
  <si>
    <t>ヘッダーフィールド10必須フラグ</t>
  </si>
  <si>
    <t>hf10_hissu_flg</t>
  </si>
  <si>
    <t>HF10コード名称</t>
  </si>
  <si>
    <t>ヘッダーフィールド10名称</t>
  </si>
  <si>
    <t>hf10_name</t>
  </si>
  <si>
    <t>UF４コード使用ﾌﾗｸﾞ</t>
  </si>
  <si>
    <t>ユニバーサルフィールド4使用フラグ</t>
  </si>
  <si>
    <t>uf4_shiyou_flg</t>
  </si>
  <si>
    <t>UF４コード名称</t>
  </si>
  <si>
    <t>ユニバーサルフィールド4名称</t>
  </si>
  <si>
    <t>uf4_name</t>
  </si>
  <si>
    <t>UF５コード使用ﾌﾗｸﾞ</t>
  </si>
  <si>
    <t>ユニバーサルフィールド5使用フラグ</t>
  </si>
  <si>
    <t>uf5_shiyou_flg</t>
  </si>
  <si>
    <t>UF５コード名称</t>
  </si>
  <si>
    <t>ユニバーサルフィールド5名称</t>
  </si>
  <si>
    <t>uf5_name</t>
  </si>
  <si>
    <t>UF６コード使用ﾌﾗｸﾞ</t>
  </si>
  <si>
    <t>ユニバーサルフィールド6使用フラグ</t>
  </si>
  <si>
    <t>uf6_shiyou_flg</t>
  </si>
  <si>
    <t>UF６コード名称</t>
  </si>
  <si>
    <t>ユニバーサルフィールド6名称</t>
  </si>
  <si>
    <t>uf6_name</t>
  </si>
  <si>
    <t>UF７コード使用ﾌﾗｸﾞ</t>
  </si>
  <si>
    <t>ユニバーサルフィールド7使用フラグ</t>
  </si>
  <si>
    <t>uf7_shiyou_flg</t>
  </si>
  <si>
    <t>UF７コード名称</t>
  </si>
  <si>
    <t>ユニバーサルフィールド7名称</t>
  </si>
  <si>
    <t>uf7_name</t>
  </si>
  <si>
    <t>UF８コード使用ﾌﾗｸﾞ</t>
  </si>
  <si>
    <t>ユニバーサルフィールド8使用フラグ</t>
  </si>
  <si>
    <t>uf8_shiyou_flg</t>
  </si>
  <si>
    <t>UF８コード名称</t>
  </si>
  <si>
    <t>ユニバーサルフィールド8名称</t>
  </si>
  <si>
    <t>uf8_name</t>
  </si>
  <si>
    <t>UF９コード使用ﾌﾗｸﾞ</t>
  </si>
  <si>
    <t>ユニバーサルフィールド9使用フラグ</t>
  </si>
  <si>
    <t>uf9_shiyou_flg</t>
  </si>
  <si>
    <t>UF９コード名称</t>
  </si>
  <si>
    <t>ユニバーサルフィールド9名称</t>
  </si>
  <si>
    <t>uf9_name</t>
  </si>
  <si>
    <t>UF１０コード使用ﾌﾗｸﾞ</t>
  </si>
  <si>
    <t>ユニバーサルフィールド10使用フラグ</t>
  </si>
  <si>
    <t>uf10_shiyou_flg</t>
  </si>
  <si>
    <t>UF１０コード名称</t>
  </si>
  <si>
    <t>ユニバーサルフィールド10名称</t>
  </si>
  <si>
    <t>uf10_name</t>
  </si>
  <si>
    <t>UF１コード使用ﾌﾗｸﾞ（固定）</t>
    <rPh sb="13" eb="15">
      <t>コテイ</t>
    </rPh>
    <phoneticPr fontId="1"/>
  </si>
  <si>
    <t>ユニバーサルフィールド1使用フラグ(固定値)</t>
    <phoneticPr fontId="1"/>
  </si>
  <si>
    <t>uf_kotei1_shiyou_flg</t>
    <phoneticPr fontId="1"/>
  </si>
  <si>
    <t>UF１コード名称（固定）</t>
    <rPh sb="9" eb="11">
      <t>コテイ</t>
    </rPh>
    <phoneticPr fontId="1"/>
  </si>
  <si>
    <t>ユニバーサルフィールド1名称(固定値)</t>
    <phoneticPr fontId="1"/>
  </si>
  <si>
    <t>uf_kotei1_name</t>
    <phoneticPr fontId="1"/>
  </si>
  <si>
    <t>UF２コード使用ﾌﾗｸﾞ（固定）</t>
    <rPh sb="13" eb="15">
      <t>コテイ</t>
    </rPh>
    <phoneticPr fontId="1"/>
  </si>
  <si>
    <t>ユニバーサルフィールド2使用フラグ(固定値)</t>
  </si>
  <si>
    <t>uf_kotei2_shiyou_flg</t>
  </si>
  <si>
    <t>UF２コード名称（固定）</t>
    <rPh sb="9" eb="11">
      <t>コテイ</t>
    </rPh>
    <phoneticPr fontId="1"/>
  </si>
  <si>
    <t>ユニバーサルフィールド2名称(固定値)</t>
  </si>
  <si>
    <t>uf_kotei2_name</t>
  </si>
  <si>
    <t>UF３コード使用ﾌﾗｸﾞ（固定）</t>
    <rPh sb="13" eb="15">
      <t>コテイ</t>
    </rPh>
    <phoneticPr fontId="1"/>
  </si>
  <si>
    <t>ユニバーサルフィールド3使用フラグ(固定値)</t>
  </si>
  <si>
    <t>uf_kotei3_shiyou_flg</t>
  </si>
  <si>
    <t>UF３コード名称（固定）</t>
    <rPh sb="9" eb="11">
      <t>コテイ</t>
    </rPh>
    <phoneticPr fontId="1"/>
  </si>
  <si>
    <t>ユニバーサルフィールド3名称(固定値)</t>
  </si>
  <si>
    <t>uf_kotei3_name</t>
  </si>
  <si>
    <t>UF４コード使用ﾌﾗｸﾞ（固定）</t>
    <rPh sb="13" eb="15">
      <t>コテイ</t>
    </rPh>
    <phoneticPr fontId="1"/>
  </si>
  <si>
    <t>ユニバーサルフィールド4使用フラグ(固定値)</t>
  </si>
  <si>
    <t>uf_kotei4_shiyou_flg</t>
  </si>
  <si>
    <t>UF４コード名称（固定）</t>
    <rPh sb="9" eb="11">
      <t>コテイ</t>
    </rPh>
    <phoneticPr fontId="1"/>
  </si>
  <si>
    <t>ユニバーサルフィールド4名称(固定値)</t>
  </si>
  <si>
    <t>uf_kotei4_name</t>
  </si>
  <si>
    <t>UF５コード使用ﾌﾗｸﾞ（固定）</t>
    <rPh sb="13" eb="15">
      <t>コテイ</t>
    </rPh>
    <phoneticPr fontId="1"/>
  </si>
  <si>
    <t>ユニバーサルフィールド5使用フラグ(固定値)</t>
  </si>
  <si>
    <t>uf_kotei5_shiyou_flg</t>
  </si>
  <si>
    <t>UF５コード名称（固定）</t>
    <rPh sb="9" eb="11">
      <t>コテイ</t>
    </rPh>
    <phoneticPr fontId="1"/>
  </si>
  <si>
    <t>ユニバーサルフィールド5名称(固定値)</t>
  </si>
  <si>
    <t>uf_kotei5_name</t>
  </si>
  <si>
    <t>UF６コード使用ﾌﾗｸﾞ（固定）</t>
    <rPh sb="13" eb="15">
      <t>コテイ</t>
    </rPh>
    <phoneticPr fontId="1"/>
  </si>
  <si>
    <t>ユニバーサルフィールド6使用フラグ(固定値)</t>
  </si>
  <si>
    <t>uf_kotei6_shiyou_flg</t>
  </si>
  <si>
    <t>UF６コード名称（固定）</t>
    <rPh sb="9" eb="11">
      <t>コテイ</t>
    </rPh>
    <phoneticPr fontId="1"/>
  </si>
  <si>
    <t>ユニバーサルフィールド6名称(固定値)</t>
  </si>
  <si>
    <t>uf_kotei6_name</t>
  </si>
  <si>
    <t>UF７コード使用ﾌﾗｸﾞ（固定）</t>
    <rPh sb="13" eb="15">
      <t>コテイ</t>
    </rPh>
    <phoneticPr fontId="1"/>
  </si>
  <si>
    <t>ユニバーサルフィールド7使用フラグ(固定値)</t>
  </si>
  <si>
    <t>uf_kotei7_shiyou_flg</t>
  </si>
  <si>
    <t>UF７コード名称（固定）</t>
    <rPh sb="9" eb="11">
      <t>コテイ</t>
    </rPh>
    <phoneticPr fontId="1"/>
  </si>
  <si>
    <t>ユニバーサルフィールド7名称(固定値)</t>
  </si>
  <si>
    <t>uf_kotei7_name</t>
  </si>
  <si>
    <t>UF８コード使用ﾌﾗｸﾞ（固定）</t>
    <rPh sb="13" eb="15">
      <t>コテイ</t>
    </rPh>
    <phoneticPr fontId="1"/>
  </si>
  <si>
    <t>ユニバーサルフィールド8使用フラグ(固定値)</t>
  </si>
  <si>
    <t>uf_kotei8_shiyou_flg</t>
  </si>
  <si>
    <t>UF８コード名称（固定）</t>
    <rPh sb="9" eb="11">
      <t>コテイ</t>
    </rPh>
    <phoneticPr fontId="1"/>
  </si>
  <si>
    <t>ユニバーサルフィールド8名称(固定値)</t>
  </si>
  <si>
    <t>uf_kotei8_name</t>
  </si>
  <si>
    <t>UF９コード使用ﾌﾗｸﾞ（固定）</t>
    <rPh sb="13" eb="15">
      <t>コテイ</t>
    </rPh>
    <phoneticPr fontId="1"/>
  </si>
  <si>
    <t>ユニバーサルフィールド9使用フラグ(固定値)</t>
  </si>
  <si>
    <t>uf_kotei9_shiyou_flg</t>
  </si>
  <si>
    <t>UF９コード名称（固定）</t>
    <rPh sb="9" eb="11">
      <t>コテイ</t>
    </rPh>
    <phoneticPr fontId="1"/>
  </si>
  <si>
    <t>ユニバーサルフィールド9名称(固定値)</t>
  </si>
  <si>
    <t>uf_kotei9_name</t>
  </si>
  <si>
    <t>UF１０コード使用ﾌﾗｸﾞ（固定）</t>
    <rPh sb="14" eb="16">
      <t>コテイ</t>
    </rPh>
    <phoneticPr fontId="1"/>
  </si>
  <si>
    <t>ユニバーサルフィールド10使用フラグ(固定値)</t>
  </si>
  <si>
    <t>uf_kotei10_shiyou_flg</t>
  </si>
  <si>
    <t>UF１０コード名称（固定）</t>
    <rPh sb="10" eb="12">
      <t>コテイ</t>
    </rPh>
    <phoneticPr fontId="1"/>
  </si>
  <si>
    <t>ユニバーサルフィールド10名称(固定値)</t>
  </si>
  <si>
    <t>uf_kotei10_name</t>
  </si>
  <si>
    <t>セグメント使用フラグ</t>
    <phoneticPr fontId="1"/>
  </si>
  <si>
    <t>セグメントコード使用フラグ</t>
    <phoneticPr fontId="1"/>
  </si>
  <si>
    <t>sgcd_shiyou_flg</t>
    <phoneticPr fontId="1"/>
  </si>
  <si>
    <t>取引先振込先銀行</t>
    <rPh sb="0" eb="3">
      <t>トリヒキサキ</t>
    </rPh>
    <rPh sb="3" eb="6">
      <t>フリコミサキ</t>
    </rPh>
    <rPh sb="6" eb="8">
      <t>ギンコウ</t>
    </rPh>
    <phoneticPr fontId="1"/>
  </si>
  <si>
    <t>振込先銀行</t>
    <rPh sb="0" eb="3">
      <t>フリコミサキ</t>
    </rPh>
    <rPh sb="3" eb="5">
      <t>ギンコウ</t>
    </rPh>
    <phoneticPr fontId="1"/>
  </si>
  <si>
    <t>torihikisaki_furikomisaki</t>
    <phoneticPr fontId="1"/>
  </si>
  <si>
    <t>取引先支払方法</t>
    <rPh sb="3" eb="5">
      <t>シハライ</t>
    </rPh>
    <rPh sb="5" eb="7">
      <t>ホウホウ</t>
    </rPh>
    <phoneticPr fontId="1"/>
  </si>
  <si>
    <t>振込先支払方法</t>
    <rPh sb="0" eb="3">
      <t>フリコミサキ</t>
    </rPh>
    <rPh sb="3" eb="5">
      <t>シハライ</t>
    </rPh>
    <rPh sb="5" eb="7">
      <t>ホウホウ</t>
    </rPh>
    <phoneticPr fontId="1"/>
  </si>
  <si>
    <t>torihikisaki_shiharaihouhou</t>
    <phoneticPr fontId="1"/>
  </si>
  <si>
    <t>取引先補助</t>
    <rPh sb="0" eb="2">
      <t>トリヒキ</t>
    </rPh>
    <rPh sb="2" eb="3">
      <t>サキ</t>
    </rPh>
    <rPh sb="3" eb="5">
      <t>ホジョ</t>
    </rPh>
    <phoneticPr fontId="1"/>
  </si>
  <si>
    <t>torihikisaki_hojo</t>
    <phoneticPr fontId="1"/>
  </si>
  <si>
    <t>金融機関</t>
    <rPh sb="0" eb="4">
      <t>キンユウキカン</t>
    </rPh>
    <phoneticPr fontId="1"/>
  </si>
  <si>
    <t>(SELECT
  b.bkcod,
  br.brcod,
  b.fkana,
  b.bknam,
  br.fkana fkana2,
  br.brnam
FROM bank b 
JOIN branch br ON 
  b.bkcod = br.bkcod
)</t>
    <phoneticPr fontId="1"/>
  </si>
  <si>
    <t>金融機関</t>
    <phoneticPr fontId="1"/>
  </si>
  <si>
    <t>open21_kinyuukikan</t>
    <phoneticPr fontId="1"/>
  </si>
  <si>
    <t>RNLD</t>
    <phoneticPr fontId="1"/>
  </si>
  <si>
    <t>50音ｶﾅ</t>
    <rPh sb="2" eb="3">
      <t>オン</t>
    </rPh>
    <phoneticPr fontId="1"/>
  </si>
  <si>
    <t>torihikisaki_name_hankana</t>
    <phoneticPr fontId="1"/>
  </si>
  <si>
    <t>MEIGI</t>
    <phoneticPr fontId="1"/>
  </si>
  <si>
    <t>KNLD</t>
    <phoneticPr fontId="1"/>
  </si>
  <si>
    <t>相手先部署</t>
    <rPh sb="0" eb="3">
      <t>アイテサキ</t>
    </rPh>
    <rPh sb="3" eb="5">
      <t>ブショ</t>
    </rPh>
    <phoneticPr fontId="2"/>
  </si>
  <si>
    <t>sbusyo</t>
  </si>
  <si>
    <t>相手先担当者</t>
    <rPh sb="0" eb="3">
      <t>アイテサキ</t>
    </rPh>
    <rPh sb="3" eb="6">
      <t>タントウシャ</t>
    </rPh>
    <phoneticPr fontId="2"/>
  </si>
  <si>
    <t>stanto</t>
  </si>
  <si>
    <t>敬称</t>
    <rPh sb="0" eb="2">
      <t>ケイショウ</t>
    </rPh>
    <phoneticPr fontId="2"/>
  </si>
  <si>
    <t>keicd</t>
  </si>
  <si>
    <t>名寄せフラグ</t>
    <rPh sb="0" eb="2">
      <t>ナヨ</t>
    </rPh>
    <phoneticPr fontId="2"/>
  </si>
  <si>
    <t>☓</t>
    <phoneticPr fontId="1"/>
  </si>
  <si>
    <t>nayose</t>
  </si>
  <si>
    <t>節印実行フラグ</t>
    <rPh sb="0" eb="1">
      <t>セツ</t>
    </rPh>
    <rPh sb="1" eb="2">
      <t>イン</t>
    </rPh>
    <rPh sb="2" eb="4">
      <t>ジッコウ</t>
    </rPh>
    <phoneticPr fontId="2"/>
  </si>
  <si>
    <t>f_setuin</t>
  </si>
  <si>
    <t>主担当者</t>
    <rPh sb="0" eb="1">
      <t>シュ</t>
    </rPh>
    <rPh sb="1" eb="3">
      <t>タントウ</t>
    </rPh>
    <rPh sb="3" eb="4">
      <t>シャ</t>
    </rPh>
    <phoneticPr fontId="2"/>
  </si>
  <si>
    <t>stan</t>
  </si>
  <si>
    <t>部門コード</t>
    <rPh sb="0" eb="2">
      <t>ブモン</t>
    </rPh>
    <phoneticPr fontId="2"/>
  </si>
  <si>
    <t>sbcod</t>
  </si>
  <si>
    <t>SKICD</t>
  </si>
  <si>
    <t>科目コード</t>
    <rPh sb="0" eb="2">
      <t>カモク</t>
    </rPh>
    <phoneticPr fontId="2"/>
  </si>
  <si>
    <t>skicd</t>
  </si>
  <si>
    <t>送付案内</t>
    <rPh sb="0" eb="2">
      <t>ソウフ</t>
    </rPh>
    <rPh sb="2" eb="4">
      <t>アンナイ</t>
    </rPh>
    <phoneticPr fontId="2"/>
  </si>
  <si>
    <t>f_soufu</t>
  </si>
  <si>
    <t>案内文</t>
    <rPh sb="0" eb="3">
      <t>アンナイブン</t>
    </rPh>
    <phoneticPr fontId="2"/>
  </si>
  <si>
    <t>annai</t>
  </si>
  <si>
    <t>送料負担区分</t>
    <rPh sb="0" eb="2">
      <t>ソウリョウ</t>
    </rPh>
    <rPh sb="2" eb="4">
      <t>フタン</t>
    </rPh>
    <rPh sb="4" eb="6">
      <t>クブン</t>
    </rPh>
    <phoneticPr fontId="2"/>
  </si>
  <si>
    <t>tsokbn</t>
  </si>
  <si>
    <t>支払通知</t>
    <rPh sb="0" eb="2">
      <t>シハライ</t>
    </rPh>
    <rPh sb="2" eb="4">
      <t>ツウチ</t>
    </rPh>
    <phoneticPr fontId="2"/>
  </si>
  <si>
    <t>f_shitu</t>
  </si>
  <si>
    <t>CDM2</t>
  </si>
  <si>
    <t>仕入先番号</t>
    <rPh sb="0" eb="2">
      <t>シイレ</t>
    </rPh>
    <rPh sb="2" eb="3">
      <t>サキ</t>
    </rPh>
    <rPh sb="3" eb="5">
      <t>バンゴウ</t>
    </rPh>
    <phoneticPr fontId="2"/>
  </si>
  <si>
    <t>cdm2</t>
  </si>
  <si>
    <t>補助コード１</t>
    <rPh sb="0" eb="2">
      <t>ホジョ</t>
    </rPh>
    <phoneticPr fontId="2"/>
  </si>
  <si>
    <t>dm1</t>
  </si>
  <si>
    <t>補助コード２</t>
    <rPh sb="0" eb="2">
      <t>ホジョ</t>
    </rPh>
    <phoneticPr fontId="2"/>
  </si>
  <si>
    <t>dm2</t>
  </si>
  <si>
    <t>補助コード３</t>
    <rPh sb="0" eb="2">
      <t>ホジョ</t>
    </rPh>
    <phoneticPr fontId="2"/>
  </si>
  <si>
    <t>dm3</t>
  </si>
  <si>
    <t>負担限度額</t>
    <phoneticPr fontId="1"/>
  </si>
  <si>
    <t>gendo</t>
  </si>
  <si>
    <t>口座名人</t>
    <rPh sb="0" eb="2">
      <t>コウザ</t>
    </rPh>
    <rPh sb="2" eb="3">
      <t>メイ</t>
    </rPh>
    <rPh sb="3" eb="4">
      <t>ニン</t>
    </rPh>
    <phoneticPr fontId="1"/>
  </si>
  <si>
    <t>meigik</t>
  </si>
  <si>
    <t>口座番号</t>
    <rPh sb="0" eb="4">
      <t>コウザバンゴウ</t>
    </rPh>
    <phoneticPr fontId="1"/>
  </si>
  <si>
    <t>kouza</t>
  </si>
  <si>
    <t>預金種別</t>
    <rPh sb="0" eb="2">
      <t>ヨキン</t>
    </rPh>
    <rPh sb="2" eb="4">
      <t>シュベツ</t>
    </rPh>
    <phoneticPr fontId="1"/>
  </si>
  <si>
    <t>yokin_typ</t>
  </si>
  <si>
    <t>kinyuukikan_shiten_cd</t>
  </si>
  <si>
    <t>支店コード</t>
    <rPh sb="0" eb="2">
      <t>シテン</t>
    </rPh>
    <phoneticPr fontId="1"/>
  </si>
  <si>
    <t>siten_id</t>
  </si>
  <si>
    <t>kinyuukikan_cd</t>
  </si>
  <si>
    <t>銀行コード</t>
    <rPh sb="0" eb="2">
      <t>ギンコウ</t>
    </rPh>
    <phoneticPr fontId="1"/>
  </si>
  <si>
    <t>bank_cd</t>
  </si>
  <si>
    <t>ginkou_id</t>
  </si>
  <si>
    <t>銀行ID</t>
    <rPh sb="0" eb="2">
      <t>ギンコウ</t>
    </rPh>
    <phoneticPr fontId="1"/>
  </si>
  <si>
    <t>gin_id</t>
  </si>
  <si>
    <t>取引先コード</t>
    <rPh sb="0" eb="3">
      <t>トリヒキサキ</t>
    </rPh>
    <phoneticPr fontId="1"/>
  </si>
  <si>
    <t>trcd</t>
  </si>
  <si>
    <t>取引先振込先銀行</t>
    <rPh sb="0" eb="2">
      <t>トリヒキ</t>
    </rPh>
    <rPh sb="2" eb="3">
      <t>サキ</t>
    </rPh>
    <rPh sb="3" eb="6">
      <t>フリコミサキ</t>
    </rPh>
    <rPh sb="6" eb="8">
      <t>ギンコウ</t>
    </rPh>
    <phoneticPr fontId="1"/>
  </si>
  <si>
    <t>shiharai_houhou</t>
    <phoneticPr fontId="1"/>
  </si>
  <si>
    <t>支払方法</t>
    <rPh sb="0" eb="2">
      <t>シハライ</t>
    </rPh>
    <rPh sb="2" eb="4">
      <t>ホウホウ</t>
    </rPh>
    <phoneticPr fontId="1"/>
  </si>
  <si>
    <t>shino</t>
    <phoneticPr fontId="1"/>
  </si>
  <si>
    <t>kijitu_h</t>
    <phoneticPr fontId="1"/>
  </si>
  <si>
    <t>休日補正(支払期日)</t>
    <rPh sb="0" eb="2">
      <t>キュウジツ</t>
    </rPh>
    <rPh sb="2" eb="4">
      <t>ホセイ</t>
    </rPh>
    <rPh sb="5" eb="7">
      <t>シハライ</t>
    </rPh>
    <rPh sb="7" eb="9">
      <t>キジツ</t>
    </rPh>
    <phoneticPr fontId="1"/>
  </si>
  <si>
    <t>harai_h</t>
    <phoneticPr fontId="1"/>
  </si>
  <si>
    <t>休日補正(支払日)</t>
    <rPh sb="0" eb="2">
      <t>キュウジツ</t>
    </rPh>
    <rPh sb="2" eb="4">
      <t>ホセイ</t>
    </rPh>
    <rPh sb="5" eb="8">
      <t>シハライビ</t>
    </rPh>
    <phoneticPr fontId="1"/>
  </si>
  <si>
    <t>shiharaikijitsu_dd</t>
    <phoneticPr fontId="1"/>
  </si>
  <si>
    <t>支払期日（DD）</t>
    <rPh sb="0" eb="2">
      <t>シハライ</t>
    </rPh>
    <rPh sb="2" eb="4">
      <t>キジツ</t>
    </rPh>
    <phoneticPr fontId="1"/>
  </si>
  <si>
    <t>skijitudd</t>
    <phoneticPr fontId="1"/>
  </si>
  <si>
    <t>shiharaikijitsu_mm</t>
    <phoneticPr fontId="1"/>
  </si>
  <si>
    <t>支払期日（MM）</t>
    <rPh sb="0" eb="2">
      <t>シハライ</t>
    </rPh>
    <rPh sb="2" eb="4">
      <t>キジツ</t>
    </rPh>
    <phoneticPr fontId="1"/>
  </si>
  <si>
    <t>skijitumm</t>
    <phoneticPr fontId="1"/>
  </si>
  <si>
    <t>shiharai_kbn</t>
    <phoneticPr fontId="1"/>
  </si>
  <si>
    <t>支払区分</t>
    <rPh sb="0" eb="2">
      <t>シハライ</t>
    </rPh>
    <rPh sb="2" eb="4">
      <t>クブン</t>
    </rPh>
    <phoneticPr fontId="1"/>
  </si>
  <si>
    <t>skbncod</t>
    <phoneticPr fontId="1"/>
  </si>
  <si>
    <t>shiharaibi_dd</t>
  </si>
  <si>
    <t>支払日（DD）</t>
    <rPh sb="0" eb="3">
      <t>シハライビ</t>
    </rPh>
    <phoneticPr fontId="1"/>
  </si>
  <si>
    <t>siharaidd</t>
  </si>
  <si>
    <t>shiharaibi_mm</t>
  </si>
  <si>
    <t>支払日（MM）</t>
    <rPh sb="0" eb="3">
      <t>シハライビ</t>
    </rPh>
    <phoneticPr fontId="1"/>
  </si>
  <si>
    <t>shiharaimm</t>
  </si>
  <si>
    <t>shimebi</t>
  </si>
  <si>
    <t>締日</t>
    <rPh sb="0" eb="2">
      <t>シメビ</t>
    </rPh>
    <phoneticPr fontId="1"/>
  </si>
  <si>
    <t>simebi</t>
  </si>
  <si>
    <t>shiharai_id</t>
  </si>
  <si>
    <t>支払ID</t>
    <rPh sb="0" eb="2">
      <t>シハライ</t>
    </rPh>
    <phoneticPr fontId="1"/>
  </si>
  <si>
    <t>sho_id</t>
  </si>
  <si>
    <t>取引先支払方法</t>
    <rPh sb="0" eb="2">
      <t>トリヒキ</t>
    </rPh>
    <rPh sb="2" eb="3">
      <t>サキ</t>
    </rPh>
    <rPh sb="3" eb="5">
      <t>シハライ</t>
    </rPh>
    <rPh sb="5" eb="7">
      <t>ホウホウ</t>
    </rPh>
    <phoneticPr fontId="1"/>
  </si>
  <si>
    <t>stflg</t>
    <phoneticPr fontId="1"/>
  </si>
  <si>
    <t>取引停止</t>
    <phoneticPr fontId="1"/>
  </si>
  <si>
    <t>dm2</t>
    <phoneticPr fontId="1"/>
  </si>
  <si>
    <t>dm1</t>
    <phoneticPr fontId="1"/>
  </si>
  <si>
    <t>債務使用フラグ</t>
    <rPh sb="0" eb="2">
      <t>サイム</t>
    </rPh>
    <rPh sb="2" eb="4">
      <t>シヨウ</t>
    </rPh>
    <phoneticPr fontId="1"/>
  </si>
  <si>
    <t>saimu_shiyou_flg</t>
    <phoneticPr fontId="1"/>
  </si>
  <si>
    <t>支店名</t>
    <phoneticPr fontId="1"/>
  </si>
  <si>
    <t>shiten_name_kana</t>
    <phoneticPr fontId="1"/>
  </si>
  <si>
    <t>brnam</t>
    <phoneticPr fontId="1"/>
  </si>
  <si>
    <t>支店名（半角カナ）</t>
    <phoneticPr fontId="1"/>
  </si>
  <si>
    <t>shiten_name_hankana</t>
    <phoneticPr fontId="1"/>
  </si>
  <si>
    <t>fkana2</t>
    <phoneticPr fontId="1"/>
  </si>
  <si>
    <t>金融機関名</t>
    <phoneticPr fontId="1"/>
  </si>
  <si>
    <t>kinyuukikan_name_kana</t>
    <phoneticPr fontId="1"/>
  </si>
  <si>
    <t>bknam</t>
    <phoneticPr fontId="1"/>
  </si>
  <si>
    <t>金融機関名（半角カナ）</t>
    <phoneticPr fontId="1"/>
  </si>
  <si>
    <t>kinyuukikan_name_hankana</t>
    <phoneticPr fontId="1"/>
  </si>
  <si>
    <t>fkana</t>
    <phoneticPr fontId="1"/>
  </si>
  <si>
    <t>金融機関支店コード</t>
    <phoneticPr fontId="1"/>
  </si>
  <si>
    <t>kinyuukikan_shiten_cd</t>
    <phoneticPr fontId="1"/>
  </si>
  <si>
    <t>brcod</t>
    <phoneticPr fontId="1"/>
  </si>
  <si>
    <t>金融機関コード</t>
    <phoneticPr fontId="1"/>
  </si>
  <si>
    <t>kinyuukikan_cd</t>
    <phoneticPr fontId="1"/>
  </si>
  <si>
    <t>bkcod</t>
    <phoneticPr fontId="1"/>
  </si>
  <si>
    <t>'0'</t>
    <phoneticPr fontId="1"/>
  </si>
  <si>
    <t>SGFLG</t>
    <phoneticPr fontId="1"/>
  </si>
  <si>
    <t>KMTY</t>
  </si>
  <si>
    <t>科目コードタイプ</t>
  </si>
  <si>
    <t>kamoku_cd_type</t>
  </si>
  <si>
    <t>EDTY</t>
  </si>
  <si>
    <t>枝番コードタイプ</t>
  </si>
  <si>
    <t>kamoku_edaban_cd_type</t>
  </si>
  <si>
    <t>BMTY</t>
  </si>
  <si>
    <t>部門コードタイプ</t>
  </si>
  <si>
    <t>futan_bumon_cd_type</t>
  </si>
  <si>
    <t>TRTY</t>
  </si>
  <si>
    <t>取引先コードタイプ</t>
  </si>
  <si>
    <t>torihikisaki_cd_type</t>
  </si>
  <si>
    <t>SGTY</t>
  </si>
  <si>
    <t>セグメントコードタイプ</t>
  </si>
  <si>
    <t>segment_cd_type</t>
  </si>
  <si>
    <t>(SELECT
    kmk.kesn,
    kmk.sptn,
    kmk.szkm
FROM aexp.a_ki ki
JOIN sczkm kmk ON
    kmk.kesn = ki.kesn
WHERE
    kmk.skbn = 0 AND
    ki.ki in (0, 1, 2, 3)
)</t>
    <phoneticPr fontId="1"/>
  </si>
  <si>
    <t>EIN</t>
    <phoneticPr fontId="1"/>
  </si>
  <si>
    <t>法人番号</t>
    <rPh sb="0" eb="2">
      <t>ホウジン</t>
    </rPh>
    <rPh sb="2" eb="4">
      <t>バンゴウ</t>
    </rPh>
    <phoneticPr fontId="1"/>
  </si>
  <si>
    <t>char</t>
    <phoneticPr fontId="1"/>
  </si>
  <si>
    <t>houjin_bangou</t>
    <phoneticPr fontId="1"/>
  </si>
  <si>
    <t>金融機関</t>
    <rPh sb="0" eb="2">
      <t>キンユウ</t>
    </rPh>
    <rPh sb="2" eb="4">
      <t>キカン</t>
    </rPh>
    <phoneticPr fontId="1"/>
  </si>
  <si>
    <t>セグメントマスター</t>
    <phoneticPr fontId="1"/>
  </si>
  <si>
    <t>セグメント科目残高</t>
    <rPh sb="5" eb="7">
      <t>カモク</t>
    </rPh>
    <rPh sb="7" eb="9">
      <t>ザンダカ</t>
    </rPh>
    <phoneticPr fontId="1"/>
  </si>
  <si>
    <t>軽減有無フラグ</t>
    <rPh sb="0" eb="2">
      <t>ケイゲン</t>
    </rPh>
    <rPh sb="2" eb="4">
      <t>ウム</t>
    </rPh>
    <phoneticPr fontId="1"/>
  </si>
  <si>
    <t>keigen_umu_flg</t>
    <phoneticPr fontId="1"/>
  </si>
  <si>
    <t>(SELECT
  RTRIM(trcd) AS trcd,
  gin_id,
  bank_cd,
  siten_id,
  yokin_typ,
  kouza,
  meigik
FROM ss_frigin
WHERE
  hjcd = 0
  AND LEN(trcd) &lt; 13)</t>
    <phoneticPr fontId="1"/>
  </si>
  <si>
    <t>(SELECT
  RTRIM(ts.trcd) AS trcd,
  ts.sho_id,
  sh.simebi,
  sh.shiharaimm,
  sh.siharaidd,
  skijitumm,
  skijitudd,
  sh.skbncod,
  harai_h,
  kijitu_h,
  ts.shino
FROM ss_tshoh ts
JOIN ss_shoho sh ON
  ts.shino = sh.shino
WHERE
  ts.hjcd = 0
  AND LEN(ts.trcd) &lt; 13)</t>
    <phoneticPr fontId="1"/>
  </si>
  <si>
    <t>(SELECT
  RTRIM(TR.TRCD) AS TRCD
  ,TR.ZIP
  ,TR.ADDR1
  ,TR.ADDR2
  ,TR.TEL
  ,TR.FAX
  ,FR.MEIGI
  ,FR.MEIGIK
  ,SK.SKBKIND
  ,FR.YOKIN_TYP
  ,FR.KOUZA
  ,FR.TESUU
  ,FR.SOUKIN
  ,FR.BANK_CD
  ,FR.SITEN_ID
  ,SH.SIHARAIDD
  ,SH.SKIJITUDD
  ,SH.V_YAKUJO
  ,TR.KNLD
  ,TR.SBUSYO
  ,TR.STANTO
  ,TR.KEICD
  ,TR.NAYOSE
  ,TR.F_SETUIN
  ,TR.STAN
  ,RTRIM(TR.SBCOD) AS SBCOD
  ,TR.SKICD
  ,TR.F_SOUFU
  ,TR.ANNAI
  ,TR.TSOKBN
  ,TR.F_SHITU
  ,TR.CDM2
  ,TR.DM1
  ,TR.DM2
  ,TR.DM3
  ,FR.GENDO
FROM
  (SELECT TRCD, MIN(HJCD) AS HJCD FROM SS_TORI GROUP BY TRCD) AS TMP_TR
JOIN SS_TORI TR ON
  TR.TRCD = TMP_TR.TRCD AND 
  TR.HJCD = TMP_TR.HJCD
JOIN SS_TSHOH TS ON 
  TS.TRCD = TR.TRCD 
  AND TS.HJCD = TR.HJCD 
  AND TS.SHO_ID = 1 
JOIN SS_SHOHO SH ON 
  SH.SHINO = TS.SHINO 
JOIN SS_SKUBN SK ON 
  SK.SKBNCOD = SH.SKBNCOD 
JOIN SS_FRIGIN FR ON 
  FR.TRCD = TR.TRCD 
  AND FR.HJCD = TR.HJCD 
  AND FR.GIN_ID = 1 
WHERE
  LEN(TR.TRCD) &lt; 13)</t>
    <phoneticPr fontId="1"/>
  </si>
  <si>
    <t>(SELECT
    sbmn.kesn,
    RTRIM(sbmn.sbcd) AS sbcd,
    sbname.bnam AS sbnam,
    RTRIM(zbmn.bcod) AS bcod,
    zbmn.bnam
FROM aexp.a_ki ki
JOIN sbtbl AS sbmn ON
    ki.kesn = sbmn.kesn
JOIN bname AS sbname ON
    sbmn.kesn = sbname.kesn AND
    sbmn.sbcd = sbname.bcod AND
    sbname.bflg = 1
JOIN bname AS zbmn ON
    sbmn.kesn = zbmn.kesn AND
    sbmn.bcod = zbmn.bcod AND
    zbmn.bflg = 0
WHERE
    ki.ki in (0, 1, 2, 3)
)</t>
    <phoneticPr fontId="1"/>
  </si>
  <si>
    <t>(SELECT
    bmn.kesn,
    bmn.sptn,
    RTRIM(bmn.szbm) AS szbm
FROM aexp.a_ki AS ki
JOIN sczbm AS bmn ON
    bmn.kesn = ki.kesn
WHERE
    bmn.skbn = 0 and
    ki.ki in (0, 1, 2, 3)
)</t>
    <phoneticPr fontId="1"/>
  </si>
  <si>
    <t>(SELECT
    kesn,
    dkei,
    dseq,
    1 AS sseq,
    CAST(CAST(dymd as CHAR(8)) AS DATE) as dymd,
    dcno,
    RTRIM(rbmn) AS rbmn,
    rkmk,
    RTRIM(reda) AS reda,
    RTRIM(sbmn) AS sbmn,
    skmk,
    RTRIM(seda) AS seda,
    valu
FROM
    sjdat AS s
WHERE
    s.delf = 0 AND
    s.kday &lt;&gt; 0 AND
    (s.sflg = 0 OR s.sflg = 1)
)</t>
    <phoneticPr fontId="1"/>
  </si>
  <si>
    <t>(SELECT FIRST 
  KI.KI AS KI,
  V.D1FLG AS D1FLG, RTRIM(V.D1NM) AS D1NM, V.D2FLG AS D2FLG, RTRIM(V.D2NM) AS D2NM, V.D3FLG AS D3FLG, RTRIM(V.D3NM) AS D3NM, 
  V.PJFLG AS PJFLG, V.SGFLG AS SGFLG, '0' AS SMFLG,
  V.KMTY, V.EDTY, V.BMTY, V.TRTY, V.SGTY, E.EIN, '0' AS KEIFLG 
from AEXP.A_KI AS KI 
JOIN DBA.VOLUM AS V ON V.KESN = KI.KESN 
JOIN DBA.EINTBL AS E ON 1=1 
ORDER BY KI.KI)</t>
    <phoneticPr fontId="1"/>
  </si>
  <si>
    <t>(select KI.KI AS KI, 
 RTRIM(Z.BCOD) AS BCOD, 
 Z.KICD AS KICD, 
 B.BNAM AS BNAM, 
 RTRIM(K.KCOD) AS KCOD, 
 K.KOCD AS KOCD, 
 K.KNMX AS KNMX, 
 K.KNAM AS KNAM, 
 K.KATT AS KATT, 
 Z.R000 AS R000, 
 Z.S000 AS S000, 
 Z.R010 AS R010, 
 Z.S010 AS S010, 
 Z.R020 AS R020, 
 Z.S020 AS S020, 
 Z.R030 AS R030, 
 Z.S030 AS S030, 
 CASE WHEN V.KZSW03 = 1 THEN Z.R035 ELSE 0 END AS R035, 
 CASE WHEN V.KZSW03 = 1 THEN Z.S035 ELSE 0 END AS S035, 
 Z.R040 AS R040, 
 Z.S040 AS S040, 
 Z.R050 AS R050, 
 Z.S050 AS S050, 
 Z.R060 AS R060, 
 Z.S060 AS S060, 
 CASE WHEN V.KZSW06 = 1 THEN Z.R065 ELSE 0 END AS R065, 
 CASE WHEN V.KZSW06 = 1 THEN Z.S065 ELSE 0 END AS S065, 
 Z.R070 AS R070, 
 Z.S070 AS S070, 
 Z.R080 AS R080, 
 Z.S080 AS S080, 
 Z.R090 AS R090, 
 Z.S090 AS S090, 
 CASE WHEN V.KZSW09 = 1 THEN Z.R095 ELSE 0 END AS R095, 
 CASE WHEN V.KZSW09 = 1 THEN Z.S095 ELSE 0 END AS S095, 
 Z.R100 AS R100, 
 Z.S100 AS S100, 
 Z.R110 AS R110, 
 Z.S110 AS S110, 
 Z.R120 AS R120, 
 Z.S120 AS S120, 
 CASE WHEN V.KZSW12 = 1 THEN Z.R125 ELSE 0 END AS R125, 
 CASE WHEN V.KZSW12 = 1 THEN Z.S125 ELSE 0 END AS S125 
 from AEXP.A_KI as KI 
join DBA.BKZAN as Z on Z.KESN = KI.KESN 
join DBA.BNAME as B on B.KESN = Z.KESN and B.BCOD = Z.BCOD 
join DBA.KNAME as K on K.KESN = Z.KESN and K.KICD = Z.KICD 
JOIN DBA.VOLUM as V on V.KESN = KI.KESN 
WHERE
    KI.KI IN (0, 1, 2, 3)
)</t>
    <phoneticPr fontId="1"/>
  </si>
  <si>
    <t>(SELECT KI.KI AS KI,
 RTRIM(Z.BCOD) AS BCOD,
 Z.KICD AS KICD,
 B.BNAM AS BNAM,
 RTRIM(K.KCOD) AS KCOD,
 RTRIM(Z.ECOD) AS ECOD,
 K.KOCD AS KOCD,
 K.KNMX AS KNMX,
 K.KNAM AS KNAM,
 K.KATT AS KATT,
 Z.R000 AS R000,
 Z.S000 AS S000,
 Z.R010 AS R010,
 Z.S010 AS S010,
 Z.R020 AS R020,
 Z.S020 AS S020,
 Z.R030 AS R030,
 Z.S030 AS S030,
 CASE WHEN V.KZSW03 = 1 THEN Z.R035 ELSE 0 END AS R035,
 CASE WHEN V.KZSW03 = 1 THEN Z.S035 ELSE 0 END AS S035,
 Z.R040 AS R040,
 Z.S040 AS S040,
 Z.R050 AS R050,
 Z.S050 AS S050,
 Z.R060 AS R060,
 Z.S060 AS S060,
 CASE WHEN V.KZSW06 = 1 THEN Z.R065 ELSE 0 END AS R065,
 CASE WHEN V.KZSW06 = 1 THEN Z.S065 ELSE 0 END AS S065,
 Z.R070 AS R070,
 Z.S070 AS S070,
 Z.R080 AS R080,
 Z.S080 AS S080,
 Z.R090 AS R090,
 Z.S090 AS S090,
 CASE WHEN V.KZSW09 = 1 THEN Z.R095 ELSE 0 END AS R095,
 CASE WHEN V.KZSW09 = 1 THEN Z.S095 ELSE 0 END AS S095,
 Z.R100 AS R100,
 Z.S100 AS S100,
 Z.R110 AS R110,
 Z.S110 AS S110,
 Z.R120 AS R120,
 Z.S120 AS S120,
 CASE WHEN V.KZSW12 = 1 THEN Z.R125 ELSE 0 END AS R125,
 CASE WHEN V.KZSW12 = 1 THEN Z.S125 ELSE 0 END AS S125 
FROM AEXP.A_KI AS KI 
JOIN DBA.BKEZAN AS Z ON Z.KESN = KI.KESN 
JOIN DBA.BNAME AS B ON B.KESN = Z.KESN AND B.BCOD = Z.BCOD 
JOIN DBA.KNAME AS K ON K.KESN = Z.KESN AND K.KICD = Z.KICD 
JOIN DBA.VOLUM as V on V.KESN = KI.KESN 
WHERE
    KI.KI IN (0, 1, 2, 3)
)</t>
    <phoneticPr fontId="1"/>
  </si>
  <si>
    <t>(SELECT KI.KI AS KI,
 RTRIM(Y.BCOD) AS BCOD,
 Y.KICD AS KICD,
 B.BNAM AS BNAM,
 RTRIM(K.KCOD) AS KCOD,
 RTRIM(Y.ECOD) AS ECOD,
 K.KOCD AS KOCD,
 K.KNMX AS KNMX,
 K.KNAM AS KNAM,
 K.KATT AS KATT,
 Y.Y010 AS Y010,
 Y.Y020 AS Y020,
 Y.Y030 AS Y030,
 CASE WHEN V.KZSW03 = 1 THEN Y.Y035 ELSE 0 END AS Y035,
 Y.Y040 AS Y040,
 Y.Y050 AS Y050,
 Y.Y060 AS Y060,
 CASE WHEN V.KZSW06 = 1 THEN Y.Y065 ELSE 0 END AS Y065,
 Y.Y070 AS Y070,
 Y.Y080 AS Y080,
 Y.Y090 AS Y090,
 CASE WHEN V.KZSW09 = 1 THEN Y.Y095 ELSE 0 END AS Y095,
 Y.Y100 AS Y100,
 Y.Y110 AS Y110,
 Y.Y120 AS Y120,
 CASE WHEN V.KZSW12 = 1 THEN Y.Y125 ELSE 0 END AS Y125 
FROM AEXP.A_KI AS KI 
JOIN DBA.:BKEYSN AS Y ON Y.KESN = KI.KESN 
JOIN DBA.BNAME AS B ON B.KESN = Y.KESN AND B.BCOD = Y.BCOD 
JOIN DBA.KNAME AS K ON K.KESN = Y.KESN AND K.KICD = Y.KICD 
JOIN DBA.VOLUM as V on V.KESN = KI.KESN 
WHERE
    KI.KI IN (0, 1, 2, 3)
)</t>
    <phoneticPr fontId="1"/>
  </si>
  <si>
    <t>(SELECT KI.KI AS KI,
 RTRIM(Y.BCOD) AS BCOD,
 Y.KICD AS KICD,
 B.BNAM AS BNAM,
 RTRIM(K.KCOD) AS KCOD,
 K.KOCD AS KOCD,
 K.KNMX AS KNMX,
 K.KNAM AS KNAM,
 K.KATT AS KATT,
 Y.Y010 AS Y010,
 Y.Y020 AS Y020,
 Y.Y030 AS Y030,
 CASE WHEN V.KZSW03 = 1 THEN Y.Y035 ELSE 0 END AS Y035,
 Y.Y040 AS Y040,
 Y.Y050 AS Y050,
 Y.Y060 AS Y060,
 CASE WHEN V.KZSW06 = 1 THEN Y.Y065 ELSE 0 END AS Y065,
 Y.Y070 AS Y070,
 Y.Y080 AS Y080,
 Y.Y090 AS Y090,
 CASE WHEN V.KZSW09 = 1 THEN Y.Y095 ELSE 0 END AS Y095,
 Y.Y100 AS Y100,
 Y.Y110 AS Y110,
 Y.Y120 AS Y120,
 CASE WHEN V.KZSW12 = 1 THEN Y.Y125 ELSE 0 END AS Y125 
FROM AEXP.A_KI AS KI 
JOIN DBA.:BKYSN AS Y ON Y.KESN = KI.KESN 
JOIN DBA.BNAME AS B ON B.KESN = Y.KESN AND B.BCOD = Y.BCOD 
JOIN DBA.KNAME AS K ON K.KESN = Y.KESN AND K.KICD = Y.KICD 
JOIN DBA.VOLUM as V on V.KESN = KI.KESN 
WHERE
    KI.KI IN (0, 1, 2, 3)
)</t>
    <phoneticPr fontId="1"/>
  </si>
  <si>
    <t>GAFLG</t>
    <phoneticPr fontId="1"/>
  </si>
  <si>
    <t>外貨使用フラグ</t>
    <rPh sb="0" eb="2">
      <t>ガイカ</t>
    </rPh>
    <rPh sb="2" eb="4">
      <t>シヨウ</t>
    </rPh>
    <phoneticPr fontId="1"/>
  </si>
  <si>
    <t>smallint</t>
    <phoneticPr fontId="1"/>
  </si>
  <si>
    <t>gaika_flg</t>
    <phoneticPr fontId="1"/>
  </si>
  <si>
    <t>(SELECT KI.KI AS KI, K.KICD AS KICD, RTRIM(K.KCOD) AS KCOD, K.KNMX AS KNMX, K.KNAM AS KNAM, K.KNLD AS KNLD, K.KOCD AS KOCD, K.KATT AS KATT, K.GSW1 AS GSW1, K.GSW2 AS GSW2, K.SY01 AS SY01, K.SY02 AS SY02, K.SY03 AS SY03, K.SY04 AS SY04, K.SY05 AS SY05, K.SY06 AS SY06, K.SY07 AS SY07, K.SY08 AS SY08, K.KE02 AS KE02, K.KT02 AS KT02, K.KB02 AS KB02, K.BKE01 AS BKE01, K.SG02 AS SG02, K.PJ02 AS PJ02, K.DM12 AS UF12, K.DM22 AS UF22, K.DM32 AS UF32, K.KJ02 AS KJ02, K.KS02 AS KS02, K.TK02 AS TK02, K.BTK01 AS BTK01, K.BTKE01 AS BTKE01, K.TKE01 AS TKE01, K.STK01 AS STK01, K.KK01 AS KK01, CASE WHEN KH.KICD IS NULL THEN 0 ELSE 1 END AS GAFLG FROM AEXP.A_KI AS KI JOIN DBA.KNAME AS K ON K.KESN = KI.KESN LEFT OUTER JOIN DBA.KMKHEI KH ON K.KESN = KH.KESN AND K.KICD = KH.KICD)</t>
    <phoneticPr fontId="1"/>
  </si>
  <si>
    <t>s110</t>
    <phoneticPr fontId="1"/>
  </si>
  <si>
    <t>(SELECT
    RTRIM(TMP_A.trcd) AS trcd,
    TMP_A.dm1,
    TMP_A.dm2,
    TMP_A.dm3,
    TMP_A.stflg
FROM SS_TORI AS TMP_A
    INNER JOIN (SELECT TRCD,MIN(HJCD) AS MinHJCD FROM SS_TORI
                WHERE STFLG &lt;&gt; 1 AND LEN(TRCD) &lt; 13
                GROUP BY TRCD) AS TMP_B
    ON TMP_A.TRCD = TMP_B.TRCD AND TMP_A.HJCD = TMP_B.MinHJCD)</t>
    <phoneticPr fontId="1"/>
  </si>
  <si>
    <t>課税区分</t>
    <phoneticPr fontId="1"/>
  </si>
  <si>
    <t>分離区分</t>
    <phoneticPr fontId="1"/>
  </si>
  <si>
    <t>仕入区分</t>
    <rPh sb="0" eb="2">
      <t>シイ</t>
    </rPh>
    <rPh sb="2" eb="4">
      <t>クブン</t>
    </rPh>
    <phoneticPr fontId="1"/>
  </si>
  <si>
    <t>shiire_kbn</t>
    <phoneticPr fontId="1"/>
  </si>
  <si>
    <t>入力開始日</t>
    <phoneticPr fontId="1"/>
  </si>
  <si>
    <t>nyuryoku_from_date</t>
    <phoneticPr fontId="1"/>
  </si>
  <si>
    <t>timestamp(6) without time zone</t>
  </si>
  <si>
    <t>入力終了日</t>
    <phoneticPr fontId="1"/>
  </si>
  <si>
    <t>nyuryoku_to_date</t>
    <phoneticPr fontId="1"/>
  </si>
  <si>
    <t>入力許可開始年月日</t>
  </si>
  <si>
    <t>nyuryoku_from_date</t>
  </si>
  <si>
    <t>入力許可終了年月日</t>
  </si>
  <si>
    <t>nyuryoku_to_date</t>
  </si>
  <si>
    <t>適格請求書発行事業者登録番号</t>
  </si>
  <si>
    <t>tekikaku_no</t>
  </si>
  <si>
    <t>character varying(14)</t>
    <phoneticPr fontId="1"/>
  </si>
  <si>
    <t>免税事業者等フラグ</t>
  </si>
  <si>
    <t>menzei_jigyousha_flg</t>
  </si>
  <si>
    <t>character varying(1)</t>
    <phoneticPr fontId="1"/>
  </si>
  <si>
    <t>ISTAYMD</t>
  </si>
  <si>
    <t>IENDYMD</t>
  </si>
  <si>
    <t>INVOICEID</t>
    <phoneticPr fontId="1"/>
  </si>
  <si>
    <t>MENZEIJIGYOUSHAFLG</t>
    <phoneticPr fontId="1"/>
  </si>
  <si>
    <t>（期別）消費税設定</t>
    <rPh sb="1" eb="3">
      <t>キベツ</t>
    </rPh>
    <rPh sb="4" eb="7">
      <t>ショウヒゼイ</t>
    </rPh>
    <rPh sb="7" eb="9">
      <t>セッテイ</t>
    </rPh>
    <phoneticPr fontId="1"/>
  </si>
  <si>
    <t>ki_shouhizei_setting</t>
  </si>
  <si>
    <t>KESN</t>
  </si>
  <si>
    <t>ANBN</t>
  </si>
  <si>
    <t>仕入税額按分フラグ</t>
    <phoneticPr fontId="1"/>
  </si>
  <si>
    <t>shiire_zeigaku_anbun_flg</t>
  </si>
  <si>
    <t>仕入税額按分フラグ</t>
  </si>
  <si>
    <t>SKBN</t>
  </si>
  <si>
    <t>消費税区分</t>
  </si>
  <si>
    <t>shouhizei_kbn</t>
  </si>
  <si>
    <t>HSSW</t>
    <phoneticPr fontId="1"/>
  </si>
  <si>
    <t>端数処理フラグ</t>
  </si>
  <si>
    <t>hasuu_shori_flg</t>
  </si>
  <si>
    <t>ZKEISAN</t>
  </si>
  <si>
    <t>税額計算フラグ</t>
  </si>
  <si>
    <t>zeigaku_keisan_flg</t>
  </si>
  <si>
    <t>ZTKCHK</t>
  </si>
  <si>
    <t>消費税対象科目未入力フラグ</t>
  </si>
  <si>
    <t>shouhizeitaishou_minyuryoku_flg</t>
  </si>
  <si>
    <t>KBN1</t>
  </si>
  <si>
    <t>資産</t>
    <rPh sb="0" eb="2">
      <t>シサン</t>
    </rPh>
    <phoneticPr fontId="7"/>
  </si>
  <si>
    <t>shisan</t>
  </si>
  <si>
    <t>KBN2</t>
  </si>
  <si>
    <t>売上</t>
    <rPh sb="0" eb="2">
      <t>ウリアゲ</t>
    </rPh>
    <phoneticPr fontId="7"/>
  </si>
  <si>
    <t>uriage</t>
  </si>
  <si>
    <t>KBN3</t>
  </si>
  <si>
    <t>仕入</t>
  </si>
  <si>
    <t>shiire</t>
  </si>
  <si>
    <t>KBN4</t>
  </si>
  <si>
    <t>経費</t>
    <rPh sb="0" eb="2">
      <t>ケイヒ</t>
    </rPh>
    <phoneticPr fontId="7"/>
  </si>
  <si>
    <t>keihi</t>
  </si>
  <si>
    <t>BMSW</t>
  </si>
  <si>
    <t>部門別処理</t>
    <rPh sb="0" eb="3">
      <t>ブモンベツ</t>
    </rPh>
    <rPh sb="3" eb="5">
      <t>ショリ</t>
    </rPh>
    <phoneticPr fontId="7"/>
  </si>
  <si>
    <t>bumonbetsu_shori</t>
  </si>
  <si>
    <t>TKSIRE</t>
  </si>
  <si>
    <t>特定仕入取引等</t>
    <rPh sb="0" eb="4">
      <t>トクテイシイ</t>
    </rPh>
    <rPh sb="4" eb="7">
      <t>トリヒキトウ</t>
    </rPh>
    <phoneticPr fontId="7"/>
  </si>
  <si>
    <t>tokuteishiire</t>
  </si>
  <si>
    <t>ZERO</t>
  </si>
  <si>
    <t>0円消費税作成</t>
    <rPh sb="1" eb="2">
      <t>エン</t>
    </rPh>
    <rPh sb="2" eb="5">
      <t>ショウヒゼイ</t>
    </rPh>
    <rPh sb="5" eb="7">
      <t>サクセイ</t>
    </rPh>
    <phoneticPr fontId="7"/>
  </si>
  <si>
    <t>zero_shouhizei</t>
  </si>
  <si>
    <t>SSW1</t>
  </si>
  <si>
    <t>仮払・仮受消費税　部門</t>
    <rPh sb="9" eb="11">
      <t>ブモン</t>
    </rPh>
    <phoneticPr fontId="7"/>
  </si>
  <si>
    <t>shouhizei_bumon</t>
  </si>
  <si>
    <t>SSW2</t>
  </si>
  <si>
    <t>仮払・仮受消費税　取引先</t>
    <rPh sb="9" eb="12">
      <t>トリヒキサキ</t>
    </rPh>
    <phoneticPr fontId="7"/>
  </si>
  <si>
    <t>shouhizei_torihikisaki</t>
    <phoneticPr fontId="1"/>
  </si>
  <si>
    <t>SSW3</t>
  </si>
  <si>
    <t>仮払・仮受消費税　枝番</t>
    <rPh sb="9" eb="11">
      <t>エダバン</t>
    </rPh>
    <phoneticPr fontId="7"/>
  </si>
  <si>
    <t>shouhizei_edaban</t>
  </si>
  <si>
    <t>SSW4</t>
  </si>
  <si>
    <t>仮払・仮受消費税　プロジェクト</t>
    <phoneticPr fontId="1"/>
  </si>
  <si>
    <t>shouhizei_project</t>
  </si>
  <si>
    <t>SSW5</t>
  </si>
  <si>
    <t>仮払・仮受消費税　セグメント</t>
    <phoneticPr fontId="1"/>
  </si>
  <si>
    <t>shouhizei_segment</t>
  </si>
  <si>
    <t>SSW8</t>
  </si>
  <si>
    <t>仮払・仮受消費税　ユニバーサル１</t>
    <phoneticPr fontId="1"/>
  </si>
  <si>
    <t>shouhizei_uf1</t>
  </si>
  <si>
    <t>SSW9</t>
  </si>
  <si>
    <t>仮払・仮受消費税　ユニバーサル２</t>
    <phoneticPr fontId="1"/>
  </si>
  <si>
    <t>shouhizei_uf2</t>
  </si>
  <si>
    <t>SSW10</t>
  </si>
  <si>
    <t>仮払・仮受消費税　ユニバーサル３</t>
    <phoneticPr fontId="1"/>
  </si>
  <si>
    <t>shouhizei_uf3</t>
  </si>
  <si>
    <t>SSW6</t>
  </si>
  <si>
    <t>仮払・仮受消費税　工事</t>
    <rPh sb="9" eb="11">
      <t>コウジ</t>
    </rPh>
    <phoneticPr fontId="7"/>
  </si>
  <si>
    <t>shouhizei_kouji</t>
  </si>
  <si>
    <t>SSW7</t>
  </si>
  <si>
    <t>仮払・仮受消費税　工種</t>
    <rPh sb="9" eb="11">
      <t>コウシュ</t>
    </rPh>
    <phoneticPr fontId="7"/>
  </si>
  <si>
    <t>shouhizei_koushu</t>
  </si>
  <si>
    <t>KUF1</t>
  </si>
  <si>
    <t>仮受消費税　売上</t>
    <rPh sb="0" eb="5">
      <t>カリウケショウヒゼイ</t>
    </rPh>
    <rPh sb="6" eb="8">
      <t>ウリアゲ</t>
    </rPh>
    <phoneticPr fontId="7"/>
  </si>
  <si>
    <t>ukeshouhizei_uriage</t>
  </si>
  <si>
    <t>character varying(15)</t>
    <phoneticPr fontId="1"/>
  </si>
  <si>
    <t>KUF4</t>
  </si>
  <si>
    <t>仮受消費税　資産</t>
    <rPh sb="6" eb="8">
      <t>シサン</t>
    </rPh>
    <phoneticPr fontId="7"/>
  </si>
  <si>
    <t>ukeshouhizei_shisan</t>
  </si>
  <si>
    <t>character varying(15)</t>
  </si>
  <si>
    <t>KBF2</t>
  </si>
  <si>
    <t>仮払消費税　仕入</t>
    <rPh sb="0" eb="5">
      <t>カリバライショウヒゼイ</t>
    </rPh>
    <rPh sb="6" eb="8">
      <t>シイレ</t>
    </rPh>
    <phoneticPr fontId="7"/>
  </si>
  <si>
    <t>haraishouhizei_shiire</t>
  </si>
  <si>
    <t>KBF3</t>
  </si>
  <si>
    <t>仮払消費税　経費</t>
    <rPh sb="6" eb="8">
      <t>ケイヒ</t>
    </rPh>
    <phoneticPr fontId="7"/>
  </si>
  <si>
    <t>haraishouhizei_keihi</t>
  </si>
  <si>
    <t>KBF4</t>
  </si>
  <si>
    <t>仮払消費税　資産</t>
    <rPh sb="6" eb="8">
      <t>シサン</t>
    </rPh>
    <phoneticPr fontId="7"/>
  </si>
  <si>
    <t>haraisyouhizei_shisan</t>
  </si>
  <si>
    <t>URIAGEZEIKEISAN</t>
  </si>
  <si>
    <t>売上税額計算方式</t>
    <rPh sb="0" eb="2">
      <t>ウリアゲ</t>
    </rPh>
    <rPh sb="2" eb="4">
      <t>ゼイガク</t>
    </rPh>
    <rPh sb="4" eb="6">
      <t>ケイサン</t>
    </rPh>
    <rPh sb="6" eb="8">
      <t>ホウシキ</t>
    </rPh>
    <phoneticPr fontId="1"/>
  </si>
  <si>
    <t>uriagezeigaku_keisan</t>
  </si>
  <si>
    <t>SHIIREZEIKEISAN</t>
  </si>
  <si>
    <t>仕入税額計算方式</t>
    <rPh sb="0" eb="2">
      <t>シイレ</t>
    </rPh>
    <rPh sb="2" eb="4">
      <t>ゼイガク</t>
    </rPh>
    <rPh sb="4" eb="6">
      <t>ケイサン</t>
    </rPh>
    <rPh sb="6" eb="8">
      <t>ホウシキ</t>
    </rPh>
    <phoneticPr fontId="1"/>
  </si>
  <si>
    <t>shiirezeigaku_keisan</t>
  </si>
  <si>
    <t>SHIIREZEIKEIKA</t>
  </si>
  <si>
    <t>仕入税額控除経過措置適用</t>
    <rPh sb="0" eb="12">
      <t>シイレゼイガクコウジョケイカソチテキヨウ</t>
    </rPh>
    <phoneticPr fontId="7"/>
  </si>
  <si>
    <t>shiirezeigaku_keikasothi</t>
    <phoneticPr fontId="1"/>
  </si>
  <si>
    <t>(SELECT KI.KI AS KI, RTRIM(B.BCOD) AS BCOD, B.BNAM AS BNAM, B.BNLD BNLD, B.BFLG AS BFLG FROM AEXP.A_KI AS KI JOIN dba.BNAME AS B ON B.KESN = KI.KESN AND B.BFLG = '1')</t>
    <phoneticPr fontId="1"/>
  </si>
  <si>
    <t>消費税ボリューム</t>
  </si>
  <si>
    <t>更新日：2023/03/02</t>
    <phoneticPr fontId="1"/>
  </si>
  <si>
    <t>(select KI.KI AS KI, Z.KICD AS KICD, RTRIM(Z.ECOD) AS ECOD, RTRIM(K.KCOD) AS KCOD, K.KOCD AS KOCD, K.KNMX AS KNMX, K.KNAM AS KNAM, K.KATT AS KATT, E.SY03 AS SY03, E.SY04 AS SY04, CAST(IF E.ENSG = 1 THEN E.ENAM ELSE IF E.TCOD IS NULL THEN '' ELSE ISNULL((SELECT Z.TNAM FROM DBA.ZMTKY Z WHERE Z.KESN = E.KESN AND Z.TCOD = E.TCOD), '') ENDIF ENDIF AS CHAR(20) ) AS ENAM, 0 as K000 from AEXP.A_KI as KI join DBA.EDZAN as Z on Z.KESN = KI.KESN join DBA.KNAME as K on K.KESN = Z.KESN and K.KICD = Z.KICD join DBA.ENAME as E on E.KESN = Z.KESN and E.KICD = Z.KICD and E.ECOD = Z.ECOD)</t>
    <phoneticPr fontId="1"/>
  </si>
  <si>
    <t>(SELECT 
  RTRIM(T.TRCD) AS TRCD
  ,T.TRMX AS TRMX
  ,T.TRNAM AS TRNAM
  ,T.RNLD AS RNLD
  ,T.ISTAYMD AS ISTAYMD
  ,T.IENDYMD AS IENDYMD
  ,T.INVOICEID AS INVOICEID
  ,T.MENZEIJIGYOUSHAFLG AS MENZEIJIGYOUSHAFLG
FROM dba.TRNAM T)</t>
    <phoneticPr fontId="1"/>
  </si>
  <si>
    <t>(SELECT S.KESN, S.ANBN, S.SKBN ,S.HSSW
 ,S.ZKEISAN ,S.ZTKCHK, S.KBN1, S.KBN2 ,S.KBN3 ,S.KBN4 ,S.BMSW ,S.TKSIRE ,S.ZERO
 ,S.SSW1 ,S.SSW2 ,S.SSW3 ,S.SSW4 ,S.SSW5 ,S.SSW8
 ,S.SSW9 ,S.SSW10 ,S.SSW6 ,S.SSW7 ,S.KUF1 ,S.KUF4
 ,S.KBF2 ,S.KBF3 ,S.KBF4 ,S.URIAGEZEIKEISAN ,S.SHIIREZEIKEISAN ,S.SHIIREZEIKEIKA FROM  AEXP.A_KI AS KI
 JOIN SVOLUM S ON S.KESN = KI.KESN
 WHERE KI.KI in (0, 1, 2, 3))</t>
    <phoneticPr fontId="1"/>
  </si>
  <si>
    <t>(SELECT KI.KI AS KI, RTRIM(B.BCOD) AS BCOD, B.BNAM AS BNAM, B.BNLD AS BNLD, B.BFLG AS BFLG, B.SY05 AS SY05, B.ISTAYMD AS ISTAYMD, B.IENDYMD AS IENDYMD FROM AEXP.A_KI AS KI JOIN DBA.BNAME AS B ON B.KESN = KI.KESN AND B.BFLG = '0')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</si>
</sst>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1"/>
      <color theme="1"/>
      <name val="ＭＳ Ｐゴシック"/>
      <family val="2"/>
      <charset val="128"/>
      <scheme val="minor"/>
    </font>
    <font>
      <sz val="6"/>
      <name val="ＭＳ Ｐゴシック"/>
      <family val="2"/>
      <charset val="128"/>
      <scheme val="minor"/>
    </font>
    <font>
      <u/>
      <sz val="11"/>
      <color theme="10"/>
      <name val="ＭＳ Ｐゴシック"/>
      <family val="3"/>
      <charset val="128"/>
    </font>
    <font>
      <b/>
      <sz val="11"/>
      <color theme="1"/>
      <name val="ＭＳ Ｐゴシック"/>
      <family val="3"/>
      <charset val="128"/>
      <scheme val="minor"/>
    </font>
    <font>
      <b/>
      <sz val="11"/>
      <color indexed="8"/>
      <name val="ＭＳ Ｐゴシック"/>
      <family val="3"/>
      <charset val="128"/>
      <scheme val="minor"/>
    </font>
    <font>
      <sz val="11"/>
      <name val="ＭＳ Ｐゴシック"/>
      <family val="2"/>
      <charset val="128"/>
      <scheme val="minor"/>
    </font>
    <font>
      <sz val="11"/>
      <color theme="1"/>
      <name val="ＭＳ Ｐゴシック"/>
      <family val="3"/>
      <charset val="128"/>
      <scheme val="minor"/>
    </font>
    <font>
      <sz val="9"/>
      <color indexed="81"/>
      <name val="ＭＳ Ｐゴシック"/>
      <family val="3"/>
      <charset val="128"/>
    </font>
    <font>
      <b/>
      <sz val="9"/>
      <color indexed="81"/>
      <name val="ＭＳ Ｐゴシック"/>
      <family val="3"/>
      <charset val="128"/>
    </font>
    <font>
      <sz val="11"/>
      <name val="ＭＳ Ｐゴシック"/>
      <family val="3"/>
      <charset val="128"/>
      <scheme val="minor"/>
    </font>
    <font>
      <sz val="6"/>
      <name val="ＭＳ Ｐゴシック"/>
      <family val="3"/>
      <charset val="128"/>
    </font>
    <font>
      <sz val="9"/>
      <color theme="1"/>
      <name val="ＭＳ Ｐゴシック"/>
      <family val="3"/>
      <charset val="128"/>
    </font>
    <font>
      <u/>
      <sz val="11"/>
      <color theme="10"/>
      <name val="ＭＳ Ｐゴシック"/>
      <family val="3"/>
      <charset val="128"/>
      <scheme val="minor"/>
    </font>
    <font>
      <sz val="11"/>
      <color rgb="FFFF0000"/>
      <name val="ＭＳ Ｐゴシック"/>
      <family val="3"/>
      <charset val="128"/>
      <scheme val="minor"/>
    </font>
    <font>
      <sz val="11"/>
      <color indexed="8"/>
      <name val="ＭＳ Ｐゴシック"/>
      <family val="3"/>
      <charset val="128"/>
      <scheme val="minor"/>
    </font>
    <font>
      <u/>
      <sz val="11"/>
      <color theme="1"/>
      <name val="ＭＳ Ｐゴシック"/>
      <family val="3"/>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2"/>
      <scheme val="minor"/>
    </font>
    <font>
      <b/>
      <sz val="16"/>
      <color rgb="FF0000FF"/>
      <name val="ＭＳ Ｐゴシック"/>
      <family val="3"/>
      <charset val="128"/>
    </font>
    <font>
      <sz val="9"/>
      <name val="ＭＳ Ｐゴシック"/>
      <family val="2"/>
      <charset val="128"/>
      <scheme val="minor"/>
    </font>
    <font>
      <sz val="9"/>
      <name val="ＭＳ ゴシック"/>
      <family val="3"/>
      <charset val="128"/>
    </font>
    <font>
      <u/>
      <sz val="11"/>
      <color rgb="FF0000FF"/>
      <name val="ＭＳ Ｐゴシック"/>
      <family val="3"/>
      <charset val="128"/>
    </font>
    <font>
      <b/>
      <sz val="11"/>
      <name val="ＭＳ Ｐゴシック"/>
      <family val="3"/>
      <charset val="128"/>
      <scheme val="minor"/>
    </font>
    <font>
      <sz val="11"/>
      <name val="ＭＳ Ｐゴシック"/>
      <family val="3"/>
      <charset val="128"/>
    </font>
    <font>
      <sz val="9"/>
      <color rgb="FF000000"/>
      <name val="ＭＳ ゴシック"/>
      <family val="3"/>
      <charset val="128"/>
    </font>
    <font>
      <sz val="10"/>
      <name val="ＭＳ Ｐゴシック"/>
      <family val="3"/>
      <charset val="128"/>
      <scheme val="minor"/>
    </font>
    <font>
      <sz val="9"/>
      <color theme="1"/>
      <name val="ＭＳ Ｐゴシック"/>
      <family val="2"/>
      <charset val="128"/>
      <scheme val="minor"/>
    </font>
  </fonts>
  <fills count="48">
    <fill>
      <patternFill patternType="none"/>
    </fill>
    <fill>
      <patternFill patternType="gray125"/>
    </fill>
    <fill>
      <patternFill patternType="solid">
        <fgColor theme="3" tint="0.59999389629810485"/>
        <bgColor indexed="64"/>
      </patternFill>
    </fill>
    <fill>
      <patternFill patternType="solid">
        <fgColor rgb="FF8DB4E3"/>
        <bgColor indexed="64"/>
      </patternFill>
    </fill>
    <fill>
      <patternFill patternType="solid">
        <fgColor rgb="FFFFFF00"/>
        <bgColor indexed="64"/>
      </patternFill>
    </fill>
    <fill>
      <patternFill patternType="solid">
        <fgColor theme="0" tint="-0.34998626667073579"/>
        <bgColor indexed="64"/>
      </patternFill>
    </fill>
    <fill>
      <patternFill patternType="solid">
        <fgColor rgb="FFFFC000"/>
        <bgColor indexed="64"/>
      </patternFill>
    </fill>
    <fill>
      <patternFill patternType="solid">
        <fgColor theme="7" tint="0.59999389629810485"/>
        <bgColor indexed="64"/>
      </patternFill>
    </fill>
    <fill>
      <patternFill patternType="solid">
        <fgColor rgb="FF92D050"/>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dotted">
        <color indexed="64"/>
      </top>
      <bottom/>
      <diagonal/>
    </border>
  </borders>
  <cellStyleXfs count="47">
    <xf numFmtId="0" fontId="0" fillId="0" borderId="0">
      <alignment vertical="center"/>
    </xf>
    <xf numFmtId="0" fontId="2" fillId="0" borderId="0" applyNumberFormat="0" applyFill="0" applyBorder="0" applyAlignment="0" applyProtection="0">
      <alignment vertical="top"/>
      <protection locked="0"/>
    </xf>
    <xf numFmtId="0" fontId="11" fillId="0" borderId="0">
      <alignment vertical="center"/>
    </xf>
    <xf numFmtId="0" fontId="17" fillId="0" borderId="0" applyNumberFormat="0" applyFill="0" applyBorder="0" applyAlignment="0" applyProtection="0">
      <alignment vertical="center"/>
    </xf>
    <xf numFmtId="0" fontId="18" fillId="0" borderId="10" applyNumberFormat="0" applyFill="0" applyAlignment="0" applyProtection="0">
      <alignment vertical="center"/>
    </xf>
    <xf numFmtId="0" fontId="19" fillId="0" borderId="11" applyNumberFormat="0" applyFill="0" applyAlignment="0" applyProtection="0">
      <alignment vertical="center"/>
    </xf>
    <xf numFmtId="0" fontId="20" fillId="0" borderId="12" applyNumberFormat="0" applyFill="0" applyAlignment="0" applyProtection="0">
      <alignment vertical="center"/>
    </xf>
    <xf numFmtId="0" fontId="20" fillId="0" borderId="0" applyNumberFormat="0" applyFill="0" applyBorder="0" applyAlignment="0" applyProtection="0">
      <alignment vertical="center"/>
    </xf>
    <xf numFmtId="0" fontId="21" fillId="17" borderId="0" applyNumberFormat="0" applyBorder="0" applyAlignment="0" applyProtection="0">
      <alignment vertical="center"/>
    </xf>
    <xf numFmtId="0" fontId="22" fillId="18" borderId="0" applyNumberFormat="0" applyBorder="0" applyAlignment="0" applyProtection="0">
      <alignment vertical="center"/>
    </xf>
    <xf numFmtId="0" fontId="23" fillId="19" borderId="0" applyNumberFormat="0" applyBorder="0" applyAlignment="0" applyProtection="0">
      <alignment vertical="center"/>
    </xf>
    <xf numFmtId="0" fontId="24" fillId="20" borderId="13" applyNumberFormat="0" applyAlignment="0" applyProtection="0">
      <alignment vertical="center"/>
    </xf>
    <xf numFmtId="0" fontId="25" fillId="21" borderId="14" applyNumberFormat="0" applyAlignment="0" applyProtection="0">
      <alignment vertical="center"/>
    </xf>
    <xf numFmtId="0" fontId="26" fillId="21" borderId="13" applyNumberFormat="0" applyAlignment="0" applyProtection="0">
      <alignment vertical="center"/>
    </xf>
    <xf numFmtId="0" fontId="27" fillId="0" borderId="15" applyNumberFormat="0" applyFill="0" applyAlignment="0" applyProtection="0">
      <alignment vertical="center"/>
    </xf>
    <xf numFmtId="0" fontId="28" fillId="22" borderId="16" applyNumberFormat="0" applyAlignment="0" applyProtection="0">
      <alignment vertical="center"/>
    </xf>
    <xf numFmtId="0" fontId="29" fillId="0" borderId="0" applyNumberFormat="0" applyFill="0" applyBorder="0" applyAlignment="0" applyProtection="0">
      <alignment vertical="center"/>
    </xf>
    <xf numFmtId="0" fontId="16" fillId="23" borderId="17" applyNumberFormat="0" applyFont="0" applyAlignment="0" applyProtection="0">
      <alignment vertical="center"/>
    </xf>
    <xf numFmtId="0" fontId="30" fillId="0" borderId="0" applyNumberFormat="0" applyFill="0" applyBorder="0" applyAlignment="0" applyProtection="0">
      <alignment vertical="center"/>
    </xf>
    <xf numFmtId="0" fontId="31" fillId="0" borderId="18" applyNumberFormat="0" applyFill="0" applyAlignment="0" applyProtection="0">
      <alignment vertical="center"/>
    </xf>
    <xf numFmtId="0" fontId="32" fillId="24" borderId="0" applyNumberFormat="0" applyBorder="0" applyAlignment="0" applyProtection="0">
      <alignment vertical="center"/>
    </xf>
    <xf numFmtId="0" fontId="16" fillId="25" borderId="0" applyNumberFormat="0" applyBorder="0" applyAlignment="0" applyProtection="0">
      <alignment vertical="center"/>
    </xf>
    <xf numFmtId="0" fontId="16" fillId="26" borderId="0" applyNumberFormat="0" applyBorder="0" applyAlignment="0" applyProtection="0">
      <alignment vertical="center"/>
    </xf>
    <xf numFmtId="0" fontId="32" fillId="27" borderId="0" applyNumberFormat="0" applyBorder="0" applyAlignment="0" applyProtection="0">
      <alignment vertical="center"/>
    </xf>
    <xf numFmtId="0" fontId="32" fillId="28" borderId="0" applyNumberFormat="0" applyBorder="0" applyAlignment="0" applyProtection="0">
      <alignment vertical="center"/>
    </xf>
    <xf numFmtId="0" fontId="16" fillId="29" borderId="0" applyNumberFormat="0" applyBorder="0" applyAlignment="0" applyProtection="0">
      <alignment vertical="center"/>
    </xf>
    <xf numFmtId="0" fontId="16" fillId="30" borderId="0" applyNumberFormat="0" applyBorder="0" applyAlignment="0" applyProtection="0">
      <alignment vertical="center"/>
    </xf>
    <xf numFmtId="0" fontId="32" fillId="31" borderId="0" applyNumberFormat="0" applyBorder="0" applyAlignment="0" applyProtection="0">
      <alignment vertical="center"/>
    </xf>
    <xf numFmtId="0" fontId="32" fillId="32" borderId="0" applyNumberFormat="0" applyBorder="0" applyAlignment="0" applyProtection="0">
      <alignment vertical="center"/>
    </xf>
    <xf numFmtId="0" fontId="16" fillId="33" borderId="0" applyNumberFormat="0" applyBorder="0" applyAlignment="0" applyProtection="0">
      <alignment vertical="center"/>
    </xf>
    <xf numFmtId="0" fontId="16" fillId="34" borderId="0" applyNumberFormat="0" applyBorder="0" applyAlignment="0" applyProtection="0">
      <alignment vertical="center"/>
    </xf>
    <xf numFmtId="0" fontId="32" fillId="35" borderId="0" applyNumberFormat="0" applyBorder="0" applyAlignment="0" applyProtection="0">
      <alignment vertical="center"/>
    </xf>
    <xf numFmtId="0" fontId="32" fillId="36" borderId="0" applyNumberFormat="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32" fillId="39" borderId="0" applyNumberFormat="0" applyBorder="0" applyAlignment="0" applyProtection="0">
      <alignment vertical="center"/>
    </xf>
    <xf numFmtId="0" fontId="32" fillId="40"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32" fillId="43" borderId="0" applyNumberFormat="0" applyBorder="0" applyAlignment="0" applyProtection="0">
      <alignment vertical="center"/>
    </xf>
    <xf numFmtId="0" fontId="32" fillId="44"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32" fillId="47" borderId="0" applyNumberFormat="0" applyBorder="0" applyAlignment="0" applyProtection="0">
      <alignment vertical="center"/>
    </xf>
    <xf numFmtId="0" fontId="33" fillId="0" borderId="0"/>
    <xf numFmtId="0" fontId="39" fillId="0" borderId="0">
      <alignment vertical="center"/>
    </xf>
    <xf numFmtId="0" fontId="39" fillId="0" borderId="0">
      <alignment vertical="center"/>
    </xf>
  </cellStyleXfs>
  <cellXfs count="111">
    <xf numFmtId="0" fontId="0" fillId="0" borderId="0" xfId="0">
      <alignment vertical="center"/>
    </xf>
    <xf numFmtId="0" fontId="0" fillId="0" borderId="1" xfId="0" applyBorder="1">
      <alignment vertical="center"/>
    </xf>
    <xf numFmtId="0" fontId="0" fillId="0" borderId="0" xfId="0" applyAlignment="1">
      <alignment vertical="top"/>
    </xf>
    <xf numFmtId="0" fontId="0" fillId="2" borderId="1" xfId="0" applyFill="1" applyBorder="1">
      <alignment vertical="center"/>
    </xf>
    <xf numFmtId="0" fontId="2" fillId="0" borderId="1" xfId="1" applyBorder="1" applyAlignment="1" applyProtection="1">
      <alignment vertical="center"/>
    </xf>
    <xf numFmtId="0" fontId="3" fillId="0" borderId="0" xfId="0" applyFont="1">
      <alignment vertical="center"/>
    </xf>
    <xf numFmtId="0" fontId="0" fillId="0" borderId="3" xfId="0" applyBorder="1" applyAlignment="1">
      <alignment vertical="top"/>
    </xf>
    <xf numFmtId="0" fontId="4" fillId="0" borderId="3" xfId="0" applyFont="1" applyBorder="1" applyAlignment="1">
      <alignment vertical="top"/>
    </xf>
    <xf numFmtId="0" fontId="2" fillId="0" borderId="0" xfId="1" applyAlignment="1" applyProtection="1">
      <alignment vertical="center"/>
    </xf>
    <xf numFmtId="0" fontId="3" fillId="3" borderId="1" xfId="0" applyFont="1" applyFill="1" applyBorder="1">
      <alignment vertical="center"/>
    </xf>
    <xf numFmtId="0" fontId="3" fillId="3" borderId="1" xfId="0" applyFont="1" applyFill="1" applyBorder="1" applyAlignment="1">
      <alignment horizontal="center" vertical="center" wrapText="1"/>
    </xf>
    <xf numFmtId="0" fontId="3" fillId="3" borderId="6" xfId="0" applyFont="1" applyFill="1" applyBorder="1">
      <alignment vertical="center"/>
    </xf>
    <xf numFmtId="0" fontId="3" fillId="0" borderId="0" xfId="0" applyFont="1" applyAlignment="1">
      <alignment vertical="top"/>
    </xf>
    <xf numFmtId="0" fontId="4" fillId="0" borderId="0" xfId="0" applyFont="1" applyAlignment="1">
      <alignment vertical="top"/>
    </xf>
    <xf numFmtId="0" fontId="4" fillId="0" borderId="0" xfId="0" applyFont="1">
      <alignment vertical="center"/>
    </xf>
    <xf numFmtId="0" fontId="3" fillId="2" borderId="1" xfId="0" applyFont="1" applyFill="1" applyBorder="1">
      <alignment vertical="center"/>
    </xf>
    <xf numFmtId="0" fontId="4" fillId="2" borderId="1" xfId="0" applyFont="1" applyFill="1" applyBorder="1">
      <alignment vertical="center"/>
    </xf>
    <xf numFmtId="0" fontId="4" fillId="3" borderId="1" xfId="0" applyFont="1" applyFill="1" applyBorder="1">
      <alignment vertical="center"/>
    </xf>
    <xf numFmtId="0" fontId="6" fillId="0" borderId="0" xfId="0" applyFont="1">
      <alignment vertical="center"/>
    </xf>
    <xf numFmtId="0" fontId="0" fillId="0" borderId="0" xfId="0" applyAlignment="1">
      <alignment horizontal="right" vertical="center"/>
    </xf>
    <xf numFmtId="0" fontId="0" fillId="5" borderId="1" xfId="0" applyFill="1" applyBorder="1">
      <alignment vertical="center"/>
    </xf>
    <xf numFmtId="0" fontId="2" fillId="5" borderId="1" xfId="1" applyFill="1" applyBorder="1" applyAlignment="1" applyProtection="1">
      <alignment vertical="center"/>
    </xf>
    <xf numFmtId="0" fontId="0" fillId="0" borderId="7" xfId="0" applyBorder="1">
      <alignment vertical="center"/>
    </xf>
    <xf numFmtId="0" fontId="3" fillId="4" borderId="1" xfId="0" applyFont="1" applyFill="1" applyBorder="1">
      <alignment vertical="center"/>
    </xf>
    <xf numFmtId="0" fontId="6" fillId="0" borderId="1" xfId="0" applyFont="1" applyBorder="1">
      <alignment vertical="center"/>
    </xf>
    <xf numFmtId="0" fontId="9" fillId="0" borderId="1" xfId="0" applyFont="1" applyBorder="1">
      <alignment vertical="center"/>
    </xf>
    <xf numFmtId="0" fontId="6" fillId="0" borderId="1" xfId="0" applyFont="1" applyBorder="1" applyAlignment="1">
      <alignment horizontal="justify" vertical="center" wrapText="1"/>
    </xf>
    <xf numFmtId="0" fontId="6" fillId="0" borderId="1" xfId="0" applyFont="1" applyBorder="1" applyAlignment="1">
      <alignment horizontal="right" vertical="center" wrapText="1"/>
    </xf>
    <xf numFmtId="0" fontId="6" fillId="0" borderId="1" xfId="0" applyFont="1" applyBorder="1" applyAlignment="1">
      <alignment horizontal="justify" vertical="center"/>
    </xf>
    <xf numFmtId="0" fontId="6" fillId="2" borderId="1" xfId="0" applyFont="1" applyFill="1" applyBorder="1">
      <alignment vertical="center"/>
    </xf>
    <xf numFmtId="0" fontId="6" fillId="9" borderId="1" xfId="0" applyFont="1" applyFill="1" applyBorder="1">
      <alignment vertical="center"/>
    </xf>
    <xf numFmtId="0" fontId="12" fillId="0" borderId="0" xfId="1" applyFont="1" applyAlignment="1" applyProtection="1">
      <alignment vertical="center"/>
    </xf>
    <xf numFmtId="0" fontId="9" fillId="11" borderId="1" xfId="0" applyFont="1" applyFill="1" applyBorder="1" applyAlignment="1">
      <alignment horizontal="center" vertical="top" wrapText="1"/>
    </xf>
    <xf numFmtId="0" fontId="9" fillId="0" borderId="0" xfId="0" applyFont="1" applyAlignment="1">
      <alignment vertical="top" wrapText="1"/>
    </xf>
    <xf numFmtId="0" fontId="6" fillId="4" borderId="1" xfId="0" applyFont="1" applyFill="1" applyBorder="1" applyAlignment="1">
      <alignment horizontal="justify" vertical="center" wrapText="1"/>
    </xf>
    <xf numFmtId="0" fontId="6" fillId="9" borderId="1" xfId="0" applyFont="1" applyFill="1" applyBorder="1" applyAlignment="1">
      <alignment horizontal="justify" vertical="center" wrapText="1"/>
    </xf>
    <xf numFmtId="0" fontId="6" fillId="7" borderId="1" xfId="0" applyFont="1" applyFill="1" applyBorder="1" applyAlignment="1">
      <alignment horizontal="justify" vertical="center" wrapText="1"/>
    </xf>
    <xf numFmtId="0" fontId="13" fillId="8" borderId="1" xfId="0" applyFont="1" applyFill="1" applyBorder="1" applyAlignment="1">
      <alignment horizontal="justify" vertical="center" wrapText="1"/>
    </xf>
    <xf numFmtId="0" fontId="6" fillId="0" borderId="9" xfId="0" applyFont="1" applyBorder="1">
      <alignment vertical="center"/>
    </xf>
    <xf numFmtId="0" fontId="6" fillId="0" borderId="6" xfId="0" applyFont="1" applyBorder="1">
      <alignment vertical="center"/>
    </xf>
    <xf numFmtId="0" fontId="6" fillId="0" borderId="8" xfId="0" applyFont="1" applyBorder="1">
      <alignment vertical="center"/>
    </xf>
    <xf numFmtId="0" fontId="6" fillId="10" borderId="1" xfId="0" applyFont="1" applyFill="1" applyBorder="1">
      <alignment vertical="center"/>
    </xf>
    <xf numFmtId="0" fontId="14" fillId="2" borderId="1" xfId="0" applyFont="1" applyFill="1" applyBorder="1" applyAlignment="1">
      <alignment vertical="top" wrapText="1"/>
    </xf>
    <xf numFmtId="0" fontId="14" fillId="8" borderId="1" xfId="0" applyFont="1" applyFill="1" applyBorder="1" applyAlignment="1">
      <alignment vertical="top" wrapText="1"/>
    </xf>
    <xf numFmtId="0" fontId="14" fillId="6" borderId="1" xfId="0" applyFont="1" applyFill="1" applyBorder="1" applyAlignment="1">
      <alignment vertical="top" wrapText="1"/>
    </xf>
    <xf numFmtId="0" fontId="6" fillId="0" borderId="1" xfId="0" applyFont="1" applyBorder="1" applyAlignment="1">
      <alignment horizontal="right" vertical="center"/>
    </xf>
    <xf numFmtId="0" fontId="6" fillId="0" borderId="7" xfId="0" applyFont="1" applyBorder="1" applyAlignment="1">
      <alignment horizontal="justify" vertical="center"/>
    </xf>
    <xf numFmtId="0" fontId="14" fillId="0" borderId="1" xfId="0" applyFont="1" applyBorder="1" applyAlignment="1">
      <alignment vertical="top" wrapText="1"/>
    </xf>
    <xf numFmtId="0" fontId="14" fillId="0" borderId="1" xfId="0" applyFont="1" applyBorder="1" applyAlignment="1">
      <alignment horizontal="center" vertical="top" wrapText="1"/>
    </xf>
    <xf numFmtId="0" fontId="14" fillId="5" borderId="1" xfId="0" applyFont="1" applyFill="1" applyBorder="1" applyAlignment="1">
      <alignment vertical="top" wrapText="1"/>
    </xf>
    <xf numFmtId="0" fontId="14" fillId="5" borderId="1" xfId="0" applyFont="1" applyFill="1" applyBorder="1" applyAlignment="1">
      <alignment horizontal="center" vertical="top" wrapText="1"/>
    </xf>
    <xf numFmtId="0" fontId="9" fillId="9" borderId="1" xfId="0" applyFont="1" applyFill="1" applyBorder="1" applyAlignment="1">
      <alignment horizontal="center" vertical="top" wrapText="1"/>
    </xf>
    <xf numFmtId="0" fontId="14" fillId="9" borderId="1" xfId="0" applyFont="1" applyFill="1" applyBorder="1" applyAlignment="1">
      <alignment vertical="top" wrapText="1"/>
    </xf>
    <xf numFmtId="0" fontId="14" fillId="9" borderId="1" xfId="0" applyFont="1" applyFill="1" applyBorder="1" applyAlignment="1">
      <alignment horizontal="center" vertical="top" wrapText="1"/>
    </xf>
    <xf numFmtId="0" fontId="14" fillId="7" borderId="1" xfId="0" applyFont="1" applyFill="1" applyBorder="1" applyAlignment="1">
      <alignment vertical="top" wrapText="1"/>
    </xf>
    <xf numFmtId="0" fontId="13" fillId="0" borderId="1" xfId="0" applyFont="1" applyBorder="1" applyAlignment="1">
      <alignment horizontal="justify" vertical="center" wrapText="1"/>
    </xf>
    <xf numFmtId="0" fontId="9" fillId="0" borderId="1" xfId="0" applyFont="1" applyBorder="1" applyAlignment="1">
      <alignment horizontal="justify" vertical="center" wrapText="1"/>
    </xf>
    <xf numFmtId="0" fontId="9" fillId="0" borderId="1" xfId="0" applyFont="1" applyBorder="1" applyAlignment="1">
      <alignment vertical="center" wrapText="1"/>
    </xf>
    <xf numFmtId="0" fontId="9" fillId="0" borderId="1" xfId="2" applyFont="1" applyBorder="1">
      <alignment vertical="center"/>
    </xf>
    <xf numFmtId="0" fontId="9" fillId="12" borderId="1" xfId="0" applyFont="1" applyFill="1" applyBorder="1" applyAlignment="1">
      <alignment vertical="center" wrapText="1"/>
    </xf>
    <xf numFmtId="0" fontId="9" fillId="13" borderId="1" xfId="0" applyFont="1" applyFill="1" applyBorder="1" applyAlignment="1">
      <alignment vertical="center" wrapText="1"/>
    </xf>
    <xf numFmtId="0" fontId="9" fillId="14" borderId="1" xfId="0" applyFont="1" applyFill="1" applyBorder="1" applyAlignment="1">
      <alignment vertical="center" wrapText="1"/>
    </xf>
    <xf numFmtId="0" fontId="6" fillId="16" borderId="1" xfId="0" applyFont="1" applyFill="1" applyBorder="1">
      <alignment vertical="center"/>
    </xf>
    <xf numFmtId="0" fontId="9" fillId="9" borderId="1" xfId="0" applyFont="1" applyFill="1" applyBorder="1" applyAlignment="1">
      <alignment vertical="center" wrapText="1"/>
    </xf>
    <xf numFmtId="0" fontId="9" fillId="15" borderId="1" xfId="0" applyFont="1" applyFill="1" applyBorder="1" applyAlignment="1">
      <alignment vertical="center" wrapText="1"/>
    </xf>
    <xf numFmtId="0" fontId="9" fillId="9" borderId="1" xfId="2" applyFont="1" applyFill="1" applyBorder="1">
      <alignment vertical="center"/>
    </xf>
    <xf numFmtId="0" fontId="13" fillId="0" borderId="1" xfId="0" applyFont="1" applyBorder="1" applyAlignment="1">
      <alignment vertical="center" wrapText="1"/>
    </xf>
    <xf numFmtId="0" fontId="13" fillId="0" borderId="1" xfId="0" applyFont="1" applyBorder="1">
      <alignment vertical="center"/>
    </xf>
    <xf numFmtId="0" fontId="13" fillId="0" borderId="1" xfId="0" applyFont="1" applyBorder="1" applyAlignment="1">
      <alignment vertical="top" wrapText="1"/>
    </xf>
    <xf numFmtId="0" fontId="3" fillId="2" borderId="7" xfId="0" applyFont="1" applyFill="1" applyBorder="1">
      <alignment vertical="center"/>
    </xf>
    <xf numFmtId="0" fontId="13" fillId="0" borderId="0" xfId="0" applyFont="1">
      <alignment vertical="center"/>
    </xf>
    <xf numFmtId="0" fontId="5" fillId="0" borderId="1" xfId="0" applyFont="1" applyBorder="1">
      <alignment vertical="center"/>
    </xf>
    <xf numFmtId="0" fontId="5" fillId="0" borderId="0" xfId="0" applyFont="1">
      <alignment vertical="center"/>
    </xf>
    <xf numFmtId="0" fontId="5" fillId="0" borderId="7" xfId="0" applyFont="1" applyBorder="1">
      <alignment vertical="center"/>
    </xf>
    <xf numFmtId="0" fontId="9" fillId="0" borderId="0" xfId="0" applyFont="1">
      <alignment vertical="center"/>
    </xf>
    <xf numFmtId="0" fontId="9" fillId="0" borderId="7" xfId="0" applyFont="1" applyBorder="1">
      <alignment vertical="center"/>
    </xf>
    <xf numFmtId="0" fontId="36" fillId="0" borderId="1" xfId="0" applyFont="1" applyBorder="1" applyAlignment="1">
      <alignment vertical="center" wrapText="1"/>
    </xf>
    <xf numFmtId="0" fontId="37" fillId="0" borderId="1" xfId="1" applyFont="1" applyBorder="1" applyAlignment="1" applyProtection="1">
      <alignment vertical="center"/>
    </xf>
    <xf numFmtId="0" fontId="9" fillId="0" borderId="5" xfId="0" applyFont="1" applyBorder="1" applyAlignment="1">
      <alignment vertical="center" wrapText="1"/>
    </xf>
    <xf numFmtId="0" fontId="9" fillId="0" borderId="5" xfId="0" applyFont="1" applyBorder="1" applyAlignment="1">
      <alignment horizontal="center" vertical="center" wrapText="1"/>
    </xf>
    <xf numFmtId="0" fontId="9" fillId="0" borderId="1" xfId="0" applyFont="1" applyBorder="1" applyAlignment="1">
      <alignment horizontal="right" vertical="center" wrapText="1"/>
    </xf>
    <xf numFmtId="0" fontId="9" fillId="0" borderId="1" xfId="0" applyFont="1" applyBorder="1" applyAlignment="1">
      <alignment horizontal="center" vertical="center" wrapText="1"/>
    </xf>
    <xf numFmtId="0" fontId="9" fillId="0" borderId="1" xfId="0" quotePrefix="1" applyFont="1" applyBorder="1">
      <alignment vertical="center"/>
    </xf>
    <xf numFmtId="0" fontId="9" fillId="0" borderId="4" xfId="0" applyFont="1" applyBorder="1">
      <alignment vertical="center"/>
    </xf>
    <xf numFmtId="0" fontId="9" fillId="0" borderId="1" xfId="0" applyFont="1" applyBorder="1" applyAlignment="1">
      <alignment horizontal="justify" vertical="center"/>
    </xf>
    <xf numFmtId="0" fontId="9" fillId="4" borderId="1" xfId="0" applyFont="1" applyFill="1" applyBorder="1">
      <alignment vertical="center"/>
    </xf>
    <xf numFmtId="0" fontId="9" fillId="4" borderId="1" xfId="0" quotePrefix="1" applyFont="1" applyFill="1" applyBorder="1">
      <alignment vertical="center"/>
    </xf>
    <xf numFmtId="0" fontId="9" fillId="4" borderId="0" xfId="0" applyFont="1" applyFill="1">
      <alignment vertical="center"/>
    </xf>
    <xf numFmtId="0" fontId="5" fillId="0" borderId="0" xfId="0" applyFont="1" applyAlignment="1">
      <alignment horizontal="right" vertical="center"/>
    </xf>
    <xf numFmtId="0" fontId="38" fillId="2" borderId="1" xfId="0" applyFont="1" applyFill="1" applyBorder="1">
      <alignment vertical="center"/>
    </xf>
    <xf numFmtId="0" fontId="35" fillId="0" borderId="1" xfId="0" applyFont="1" applyBorder="1" applyAlignment="1">
      <alignment vertical="center" wrapText="1"/>
    </xf>
    <xf numFmtId="0" fontId="13" fillId="4" borderId="1" xfId="0" applyFont="1" applyFill="1" applyBorder="1" applyAlignment="1">
      <alignment vertical="center" wrapText="1"/>
    </xf>
    <xf numFmtId="0" fontId="13" fillId="4" borderId="0" xfId="0" applyFont="1" applyFill="1">
      <alignment vertical="center"/>
    </xf>
    <xf numFmtId="0" fontId="13" fillId="4" borderId="1" xfId="0" applyFont="1" applyFill="1" applyBorder="1">
      <alignment vertical="center"/>
    </xf>
    <xf numFmtId="0" fontId="13" fillId="4" borderId="1" xfId="0" applyFont="1" applyFill="1" applyBorder="1" applyAlignment="1">
      <alignment horizontal="right" vertical="center" wrapText="1"/>
    </xf>
    <xf numFmtId="0" fontId="9" fillId="4" borderId="1" xfId="0" applyFont="1" applyFill="1" applyBorder="1" applyAlignment="1">
      <alignment vertical="center" wrapText="1"/>
    </xf>
    <xf numFmtId="0" fontId="36" fillId="4" borderId="1" xfId="45" applyFont="1" applyFill="1" applyBorder="1" applyAlignment="1">
      <alignment horizontal="justify" vertical="center" wrapText="1"/>
    </xf>
    <xf numFmtId="0" fontId="36" fillId="4" borderId="1" xfId="46" applyFont="1" applyFill="1" applyBorder="1" applyAlignment="1">
      <alignment horizontal="justify" vertical="center" wrapText="1"/>
    </xf>
    <xf numFmtId="0" fontId="40" fillId="4" borderId="1" xfId="45" applyFont="1" applyFill="1" applyBorder="1" applyAlignment="1">
      <alignment horizontal="justify" vertical="center" wrapText="1"/>
    </xf>
    <xf numFmtId="0" fontId="9" fillId="4" borderId="1" xfId="0" applyFont="1" applyFill="1" applyBorder="1" applyAlignment="1">
      <alignment horizontal="justify" vertical="center" wrapText="1"/>
    </xf>
    <xf numFmtId="0" fontId="9" fillId="4" borderId="1" xfId="0" applyFont="1" applyFill="1" applyBorder="1" applyAlignment="1">
      <alignment horizontal="right" vertical="center" wrapText="1"/>
    </xf>
    <xf numFmtId="0" fontId="40" fillId="4" borderId="1" xfId="45" applyFont="1" applyFill="1" applyBorder="1" applyAlignment="1">
      <alignment horizontal="center" vertical="center" wrapText="1"/>
    </xf>
    <xf numFmtId="0" fontId="5" fillId="4" borderId="1" xfId="0" applyFont="1" applyFill="1" applyBorder="1">
      <alignment vertical="center"/>
    </xf>
    <xf numFmtId="0" fontId="2" fillId="4" borderId="1" xfId="1" quotePrefix="1" applyFill="1" applyBorder="1" applyAlignment="1" applyProtection="1">
      <alignment vertical="center"/>
    </xf>
    <xf numFmtId="0" fontId="41" fillId="4" borderId="1" xfId="0" applyFont="1" applyFill="1" applyBorder="1" applyAlignment="1">
      <alignment vertical="center" wrapText="1"/>
    </xf>
    <xf numFmtId="49" fontId="42" fillId="4" borderId="1" xfId="0" applyNumberFormat="1" applyFont="1" applyFill="1" applyBorder="1">
      <alignment vertical="center"/>
    </xf>
    <xf numFmtId="49" fontId="0" fillId="4" borderId="1" xfId="0" applyNumberFormat="1" applyFill="1" applyBorder="1">
      <alignment vertical="center"/>
    </xf>
    <xf numFmtId="49" fontId="42" fillId="4" borderId="19" xfId="0" applyNumberFormat="1" applyFont="1" applyFill="1" applyBorder="1">
      <alignment vertical="center"/>
    </xf>
    <xf numFmtId="0" fontId="3" fillId="2" borderId="1"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cellXfs>
  <cellStyles count="47">
    <cellStyle name="20% - アクセント 1" xfId="21" builtinId="30" customBuiltin="1"/>
    <cellStyle name="20% - アクセント 2" xfId="25" builtinId="34" customBuiltin="1"/>
    <cellStyle name="20% - アクセント 3" xfId="29" builtinId="38" customBuiltin="1"/>
    <cellStyle name="20% - アクセント 4" xfId="33" builtinId="42" customBuiltin="1"/>
    <cellStyle name="20% - アクセント 5" xfId="37" builtinId="46" customBuiltin="1"/>
    <cellStyle name="20% - アクセント 6" xfId="41" builtinId="50" customBuiltin="1"/>
    <cellStyle name="40% - アクセント 1" xfId="22" builtinId="31" customBuiltin="1"/>
    <cellStyle name="40% - アクセント 2" xfId="26" builtinId="35" customBuiltin="1"/>
    <cellStyle name="40% - アクセント 3" xfId="30" builtinId="39" customBuiltin="1"/>
    <cellStyle name="40% - アクセント 4" xfId="34" builtinId="43" customBuiltin="1"/>
    <cellStyle name="40% - アクセント 5" xfId="38" builtinId="47" customBuiltin="1"/>
    <cellStyle name="40% - アクセント 6" xfId="42" builtinId="51" customBuiltin="1"/>
    <cellStyle name="60% - アクセント 1" xfId="23" builtinId="32" customBuiltin="1"/>
    <cellStyle name="60% - アクセント 2" xfId="27" builtinId="36" customBuiltin="1"/>
    <cellStyle name="60% - アクセント 3" xfId="31" builtinId="40" customBuiltin="1"/>
    <cellStyle name="60% - アクセント 4" xfId="35" builtinId="44" customBuiltin="1"/>
    <cellStyle name="60% - アクセント 5" xfId="39" builtinId="48" customBuiltin="1"/>
    <cellStyle name="60% - アクセント 6" xfId="43" builtinId="52" customBuiltin="1"/>
    <cellStyle name="アクセント 1" xfId="20" builtinId="29" customBuiltin="1"/>
    <cellStyle name="アクセント 2" xfId="24" builtinId="33" customBuiltin="1"/>
    <cellStyle name="アクセント 3" xfId="28" builtinId="37" customBuiltin="1"/>
    <cellStyle name="アクセント 4" xfId="32" builtinId="41" customBuiltin="1"/>
    <cellStyle name="アクセント 5" xfId="36" builtinId="45" customBuiltin="1"/>
    <cellStyle name="アクセント 6" xfId="40" builtinId="49" customBuiltin="1"/>
    <cellStyle name="タイトル" xfId="3" builtinId="15" customBuiltin="1"/>
    <cellStyle name="チェック セル" xfId="15" builtinId="23" customBuiltin="1"/>
    <cellStyle name="どちらでもない" xfId="10" builtinId="28" customBuiltin="1"/>
    <cellStyle name="ハイパーリンク" xfId="1" builtinId="8"/>
    <cellStyle name="メモ" xfId="17" builtinId="10" customBuiltin="1"/>
    <cellStyle name="リンク セル" xfId="14" builtinId="24" customBuiltin="1"/>
    <cellStyle name="悪い" xfId="9" builtinId="27" customBuiltin="1"/>
    <cellStyle name="計算" xfId="13" builtinId="22" customBuiltin="1"/>
    <cellStyle name="警告文" xfId="16" builtinId="11" customBuiltin="1"/>
    <cellStyle name="見出し 1" xfId="4" builtinId="16" customBuiltin="1"/>
    <cellStyle name="見出し 2" xfId="5" builtinId="17" customBuiltin="1"/>
    <cellStyle name="見出し 3" xfId="6" builtinId="18" customBuiltin="1"/>
    <cellStyle name="見出し 4" xfId="7" builtinId="19" customBuiltin="1"/>
    <cellStyle name="集計" xfId="19" builtinId="25" customBuiltin="1"/>
    <cellStyle name="出力" xfId="12" builtinId="21" customBuiltin="1"/>
    <cellStyle name="説明文" xfId="18" builtinId="53" customBuiltin="1"/>
    <cellStyle name="入力" xfId="11" builtinId="20" customBuiltin="1"/>
    <cellStyle name="標準" xfId="0" builtinId="0"/>
    <cellStyle name="標準 10 2" xfId="45" xr:uid="{F5A8BCD8-E559-401C-BA6E-88FBC918CB32}"/>
    <cellStyle name="標準 2" xfId="2" xr:uid="{00000000-0005-0000-0000-00002A000000}"/>
    <cellStyle name="標準 2 2" xfId="44" xr:uid="{00000000-0005-0000-0000-00002B000000}"/>
    <cellStyle name="標準 35" xfId="46" xr:uid="{6B86EBEF-D750-45A5-9F49-B9BE0C8B932D}"/>
    <cellStyle name="良い" xfId="8" builtinId="26" customBuiltin="1"/>
  </cellStyles>
  <dxfs count="0"/>
  <tableStyles count="0" defaultTableStyle="TableStyleMedium9" defaultPivotStyle="PivotStyleLight16"/>
  <colors>
    <mruColors>
      <color rgb="FF0000FF"/>
      <color rgb="FFF4BAEC"/>
      <color rgb="FFDE8ADA"/>
      <color rgb="FF8DB4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171450</xdr:colOff>
          <xdr:row>4</xdr:row>
          <xdr:rowOff>9525</xdr:rowOff>
        </xdr:from>
        <xdr:to>
          <xdr:col>8</xdr:col>
          <xdr:colOff>2286000</xdr:colOff>
          <xdr:row>5</xdr:row>
          <xdr:rowOff>161925</xdr:rowOff>
        </xdr:to>
        <xdr:sp macro="" textlink="">
          <xdr:nvSpPr>
            <xdr:cNvPr id="3074" name="ボタン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1" i="0" u="none" strike="noStrike" baseline="0">
                  <a:solidFill>
                    <a:srgbClr val="0000FF"/>
                  </a:solidFill>
                  <a:latin typeface="ＭＳ Ｐゴシック"/>
                  <a:ea typeface="ＭＳ Ｐゴシック"/>
                </a:rPr>
                <a:t>CSV作成マクロ起動！</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eteam/dbdocs/table/48.html" TargetMode="External"/><Relationship Id="rId13" Type="http://schemas.openxmlformats.org/officeDocument/2006/relationships/hyperlink" Target="../../../eteam/dbdocs/table/48.html" TargetMode="External"/><Relationship Id="rId18" Type="http://schemas.openxmlformats.org/officeDocument/2006/relationships/hyperlink" Target="../../../eteam/dbdocs/table/48.html" TargetMode="External"/><Relationship Id="rId26" Type="http://schemas.openxmlformats.org/officeDocument/2006/relationships/hyperlink" Target="..\..\..\eteam\dbdocs\table\48.html" TargetMode="External"/><Relationship Id="rId3" Type="http://schemas.openxmlformats.org/officeDocument/2006/relationships/hyperlink" Target="../../../eteam/dbdocs/table/48.html" TargetMode="External"/><Relationship Id="rId21" Type="http://schemas.openxmlformats.org/officeDocument/2006/relationships/hyperlink" Target="..\..\..\eteam\dbdocs\table\48.html" TargetMode="External"/><Relationship Id="rId7" Type="http://schemas.openxmlformats.org/officeDocument/2006/relationships/hyperlink" Target="../../../eteam/dbdocs/table/48.html" TargetMode="External"/><Relationship Id="rId12" Type="http://schemas.openxmlformats.org/officeDocument/2006/relationships/hyperlink" Target="../../../eteam/dbdocs/table/48.html" TargetMode="External"/><Relationship Id="rId17" Type="http://schemas.openxmlformats.org/officeDocument/2006/relationships/hyperlink" Target="../../../eteam/dbdocs/table/48.html" TargetMode="External"/><Relationship Id="rId25" Type="http://schemas.openxmlformats.org/officeDocument/2006/relationships/hyperlink" Target="../../../eteam/dbdocs/table/48.html" TargetMode="External"/><Relationship Id="rId2" Type="http://schemas.openxmlformats.org/officeDocument/2006/relationships/hyperlink" Target="../../../eteam/dbdocs/table/48.html" TargetMode="External"/><Relationship Id="rId16" Type="http://schemas.openxmlformats.org/officeDocument/2006/relationships/hyperlink" Target="../../../eteam/dbdocs/table/48.html" TargetMode="External"/><Relationship Id="rId20" Type="http://schemas.openxmlformats.org/officeDocument/2006/relationships/hyperlink" Target="../../../eteam/dbdocs/table/48.html" TargetMode="External"/><Relationship Id="rId29" Type="http://schemas.openxmlformats.org/officeDocument/2006/relationships/hyperlink" Target="..\..\..\eteam\dbdocs\table\48.html" TargetMode="External"/><Relationship Id="rId1" Type="http://schemas.openxmlformats.org/officeDocument/2006/relationships/hyperlink" Target="../../../eteam/dbdocs/table/48.html" TargetMode="External"/><Relationship Id="rId6" Type="http://schemas.openxmlformats.org/officeDocument/2006/relationships/hyperlink" Target="../../../eteam/dbdocs/table/48.html" TargetMode="External"/><Relationship Id="rId11" Type="http://schemas.openxmlformats.org/officeDocument/2006/relationships/hyperlink" Target="../../../eteam/dbdocs/table/48.html" TargetMode="External"/><Relationship Id="rId24" Type="http://schemas.openxmlformats.org/officeDocument/2006/relationships/hyperlink" Target="../../../eteam/dbdocs/table/48.html" TargetMode="External"/><Relationship Id="rId32" Type="http://schemas.openxmlformats.org/officeDocument/2006/relationships/printerSettings" Target="../printerSettings/printerSettings2.bin"/><Relationship Id="rId5" Type="http://schemas.openxmlformats.org/officeDocument/2006/relationships/hyperlink" Target="../../../eteam/dbdocs/table/48.html" TargetMode="External"/><Relationship Id="rId15" Type="http://schemas.openxmlformats.org/officeDocument/2006/relationships/hyperlink" Target="../../../eteam/dbdocs/table/48.html" TargetMode="External"/><Relationship Id="rId23" Type="http://schemas.openxmlformats.org/officeDocument/2006/relationships/hyperlink" Target="..\..\..\eteam\dbdocs\table\48.html" TargetMode="External"/><Relationship Id="rId28" Type="http://schemas.openxmlformats.org/officeDocument/2006/relationships/hyperlink" Target="..\..\..\eteam\dbdocs\table\48.html" TargetMode="External"/><Relationship Id="rId10" Type="http://schemas.openxmlformats.org/officeDocument/2006/relationships/hyperlink" Target="../../../eteam/dbdocs/table/48.html" TargetMode="External"/><Relationship Id="rId19" Type="http://schemas.openxmlformats.org/officeDocument/2006/relationships/hyperlink" Target="../../../eteam/dbdocs/table/48.html" TargetMode="External"/><Relationship Id="rId31" Type="http://schemas.openxmlformats.org/officeDocument/2006/relationships/hyperlink" Target="..\..\..\eteam\dbdocs\table\48.html" TargetMode="External"/><Relationship Id="rId4" Type="http://schemas.openxmlformats.org/officeDocument/2006/relationships/hyperlink" Target="../../../eteam/dbdocs/table/48.html" TargetMode="External"/><Relationship Id="rId9" Type="http://schemas.openxmlformats.org/officeDocument/2006/relationships/hyperlink" Target="../../../eteam/dbdocs/table/48.html" TargetMode="External"/><Relationship Id="rId14" Type="http://schemas.openxmlformats.org/officeDocument/2006/relationships/hyperlink" Target="../../../eteam/dbdocs/table/48.html" TargetMode="External"/><Relationship Id="rId22" Type="http://schemas.openxmlformats.org/officeDocument/2006/relationships/hyperlink" Target="../../../eteam/dbdocs/table/48.html" TargetMode="External"/><Relationship Id="rId27" Type="http://schemas.openxmlformats.org/officeDocument/2006/relationships/hyperlink" Target="..\..\..\eteam\dbdocs\table\48.html" TargetMode="External"/><Relationship Id="rId30" Type="http://schemas.openxmlformats.org/officeDocument/2006/relationships/hyperlink" Target="..\..\..\eteam\dbdocs\table\48.htm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hyperlink" Target="file:///\\192.168.10.4\aa&#31038;&#20869;&#12503;&#12525;&#12472;&#12455;&#12463;&#12488;\&#35576;&#23626;\70.&#36074;&#21839;&#31080;\20140617_&#12513;&#12540;&#12523;&#65288;&#21462;&#24341;&#20808;&#12510;&#12473;&#12479;&#12540;&#12395;&#12388;&#12356;&#12390;&#65289;\de3_&#20250;&#31038;DB_View21_&#20661;&#21209;&#25903;&#25173;_121220_01.xls"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2:M53"/>
  <sheetViews>
    <sheetView tabSelected="1" view="pageBreakPreview" zoomScaleSheetLayoutView="100" workbookViewId="0">
      <selection activeCell="F22" sqref="F22"/>
    </sheetView>
  </sheetViews>
  <sheetFormatPr defaultRowHeight="13.5" x14ac:dyDescent="0.15"/>
  <cols>
    <col min="1" max="3" width="2.25" customWidth="1"/>
    <col min="4" max="4" width="4.5" bestFit="1" customWidth="1"/>
    <col min="5" max="5" width="26.625" bestFit="1" customWidth="1"/>
    <col min="6" max="6" width="45.875" style="72" customWidth="1"/>
    <col min="7" max="7" width="2.25" customWidth="1"/>
    <col min="8" max="8" width="26.625" bestFit="1" customWidth="1"/>
    <col min="9" max="9" width="31.25" bestFit="1" customWidth="1"/>
    <col min="10" max="10" width="21.625" bestFit="1" customWidth="1"/>
  </cols>
  <sheetData>
    <row r="2" spans="2:4" x14ac:dyDescent="0.15">
      <c r="B2" s="5" t="s">
        <v>238</v>
      </c>
    </row>
    <row r="3" spans="2:4" x14ac:dyDescent="0.15">
      <c r="B3" s="5"/>
    </row>
    <row r="4" spans="2:4" x14ac:dyDescent="0.15">
      <c r="B4" s="5"/>
      <c r="C4" s="5" t="s">
        <v>239</v>
      </c>
    </row>
    <row r="5" spans="2:4" x14ac:dyDescent="0.15">
      <c r="B5" s="5"/>
      <c r="D5" t="s">
        <v>240</v>
      </c>
    </row>
    <row r="6" spans="2:4" x14ac:dyDescent="0.15">
      <c r="B6" s="5"/>
      <c r="D6" t="s">
        <v>241</v>
      </c>
    </row>
    <row r="7" spans="2:4" x14ac:dyDescent="0.15">
      <c r="B7" s="5"/>
      <c r="D7" t="s">
        <v>243</v>
      </c>
    </row>
    <row r="8" spans="2:4" x14ac:dyDescent="0.15">
      <c r="B8" s="5"/>
    </row>
    <row r="9" spans="2:4" x14ac:dyDescent="0.15">
      <c r="B9" s="5"/>
      <c r="D9" t="s">
        <v>812</v>
      </c>
    </row>
    <row r="10" spans="2:4" x14ac:dyDescent="0.15">
      <c r="C10" s="18"/>
      <c r="D10" s="18" t="s">
        <v>242</v>
      </c>
    </row>
    <row r="11" spans="2:4" x14ac:dyDescent="0.15">
      <c r="C11" s="18"/>
      <c r="D11" s="18"/>
    </row>
    <row r="12" spans="2:4" x14ac:dyDescent="0.15">
      <c r="C12" s="18" t="s">
        <v>813</v>
      </c>
      <c r="D12" s="18"/>
    </row>
    <row r="13" spans="2:4" x14ac:dyDescent="0.15">
      <c r="C13" s="18"/>
      <c r="D13" s="18" t="s">
        <v>814</v>
      </c>
    </row>
    <row r="14" spans="2:4" x14ac:dyDescent="0.15">
      <c r="C14" s="18"/>
      <c r="D14" s="18" t="s">
        <v>815</v>
      </c>
    </row>
    <row r="15" spans="2:4" x14ac:dyDescent="0.15">
      <c r="C15" s="18"/>
    </row>
    <row r="16" spans="2:4" x14ac:dyDescent="0.15">
      <c r="C16" s="5" t="s">
        <v>244</v>
      </c>
    </row>
    <row r="17" spans="1:13" x14ac:dyDescent="0.15">
      <c r="F17" s="88" t="s">
        <v>1704</v>
      </c>
      <c r="I17" s="88" t="s">
        <v>1704</v>
      </c>
    </row>
    <row r="18" spans="1:13" x14ac:dyDescent="0.15">
      <c r="D18" s="109" t="s">
        <v>237</v>
      </c>
      <c r="E18" s="108" t="s">
        <v>4</v>
      </c>
      <c r="F18" s="108"/>
      <c r="H18" s="108" t="s">
        <v>245</v>
      </c>
      <c r="I18" s="108"/>
    </row>
    <row r="19" spans="1:13" x14ac:dyDescent="0.15">
      <c r="D19" s="110"/>
      <c r="E19" s="15" t="s">
        <v>3</v>
      </c>
      <c r="F19" s="89" t="s">
        <v>2</v>
      </c>
      <c r="H19" s="15" t="s">
        <v>3</v>
      </c>
      <c r="I19" s="15" t="s">
        <v>1</v>
      </c>
      <c r="J19" s="23" t="s">
        <v>301</v>
      </c>
      <c r="K19" s="69" t="s">
        <v>811</v>
      </c>
    </row>
    <row r="20" spans="1:13" x14ac:dyDescent="0.15">
      <c r="A20" s="72"/>
      <c r="B20" s="72"/>
      <c r="C20" s="72"/>
      <c r="D20" s="71">
        <f>ROW()-19</f>
        <v>1</v>
      </c>
      <c r="E20" s="77" t="s">
        <v>816</v>
      </c>
      <c r="F20" s="71" t="s">
        <v>1580</v>
      </c>
      <c r="G20" s="72"/>
      <c r="H20" s="71" t="s">
        <v>5</v>
      </c>
      <c r="I20" s="71" t="s">
        <v>767</v>
      </c>
      <c r="J20" s="71" t="s">
        <v>770</v>
      </c>
      <c r="K20" s="73" t="s">
        <v>743</v>
      </c>
      <c r="L20" s="72"/>
      <c r="M20" s="72"/>
    </row>
    <row r="21" spans="1:13" x14ac:dyDescent="0.15">
      <c r="A21" s="72"/>
      <c r="B21" s="72"/>
      <c r="C21" s="72"/>
      <c r="D21" s="71">
        <f t="shared" ref="D21:D50" si="0">ROW()-19</f>
        <v>2</v>
      </c>
      <c r="E21" s="77" t="s">
        <v>817</v>
      </c>
      <c r="F21" s="102" t="s">
        <v>1705</v>
      </c>
      <c r="G21" s="72"/>
      <c r="H21" s="71" t="s">
        <v>0</v>
      </c>
      <c r="I21" s="71" t="s">
        <v>768</v>
      </c>
      <c r="J21" s="71" t="s">
        <v>769</v>
      </c>
      <c r="K21" s="73" t="s">
        <v>739</v>
      </c>
      <c r="L21" s="72"/>
      <c r="M21" s="72"/>
    </row>
    <row r="22" spans="1:13" x14ac:dyDescent="0.15">
      <c r="A22" s="72"/>
      <c r="B22" s="72"/>
      <c r="C22" s="72"/>
      <c r="D22" s="71">
        <f t="shared" si="0"/>
        <v>3</v>
      </c>
      <c r="E22" s="77" t="s">
        <v>818</v>
      </c>
      <c r="F22" s="102" t="s">
        <v>1708</v>
      </c>
      <c r="G22" s="72"/>
      <c r="H22" s="71" t="s">
        <v>10</v>
      </c>
      <c r="I22" s="71" t="s">
        <v>771</v>
      </c>
      <c r="J22" s="71" t="s">
        <v>772</v>
      </c>
      <c r="K22" s="73" t="s">
        <v>744</v>
      </c>
      <c r="L22" s="72"/>
      <c r="M22" s="72"/>
    </row>
    <row r="23" spans="1:13" ht="87" customHeight="1" x14ac:dyDescent="0.15">
      <c r="A23" s="72"/>
      <c r="B23" s="72"/>
      <c r="C23" s="72"/>
      <c r="D23" s="71">
        <f t="shared" si="0"/>
        <v>4</v>
      </c>
      <c r="E23" s="77" t="s">
        <v>819</v>
      </c>
      <c r="F23" s="90" t="s">
        <v>1572</v>
      </c>
      <c r="G23" s="72"/>
      <c r="H23" s="71" t="s">
        <v>8</v>
      </c>
      <c r="I23" s="71" t="s">
        <v>773</v>
      </c>
      <c r="J23" s="71" t="s">
        <v>774</v>
      </c>
      <c r="K23" s="73" t="s">
        <v>740</v>
      </c>
      <c r="L23" s="72"/>
      <c r="M23" s="72"/>
    </row>
    <row r="24" spans="1:13" ht="148.5" x14ac:dyDescent="0.15">
      <c r="A24" s="72"/>
      <c r="B24" s="72"/>
      <c r="C24" s="72"/>
      <c r="D24" s="71">
        <f t="shared" si="0"/>
        <v>5</v>
      </c>
      <c r="E24" s="77" t="s">
        <v>820</v>
      </c>
      <c r="F24" s="95" t="s">
        <v>1706</v>
      </c>
      <c r="G24" s="72"/>
      <c r="H24" s="71" t="s">
        <v>14</v>
      </c>
      <c r="I24" s="71" t="s">
        <v>775</v>
      </c>
      <c r="J24" s="71" t="s">
        <v>775</v>
      </c>
      <c r="K24" s="73" t="s">
        <v>745</v>
      </c>
      <c r="L24" s="72"/>
      <c r="M24" s="72"/>
    </row>
    <row r="25" spans="1:13" ht="409.5" x14ac:dyDescent="0.15">
      <c r="A25" s="72"/>
      <c r="B25" s="72"/>
      <c r="C25" s="72"/>
      <c r="D25" s="71">
        <f t="shared" si="0"/>
        <v>6</v>
      </c>
      <c r="E25" s="77" t="s">
        <v>821</v>
      </c>
      <c r="F25" s="57" t="s">
        <v>1567</v>
      </c>
      <c r="G25" s="72"/>
      <c r="H25" s="71" t="s">
        <v>302</v>
      </c>
      <c r="I25" s="71" t="s">
        <v>776</v>
      </c>
      <c r="J25" s="71" t="s">
        <v>776</v>
      </c>
      <c r="K25" s="73" t="s">
        <v>748</v>
      </c>
      <c r="L25" s="72"/>
      <c r="M25" s="72" t="s">
        <v>750</v>
      </c>
    </row>
    <row r="26" spans="1:13" s="70" customFormat="1" ht="162" x14ac:dyDescent="0.15">
      <c r="A26" s="74"/>
      <c r="B26" s="74"/>
      <c r="C26" s="74"/>
      <c r="D26" s="25">
        <v>4</v>
      </c>
      <c r="E26" s="77" t="s">
        <v>1413</v>
      </c>
      <c r="F26" s="57" t="s">
        <v>1565</v>
      </c>
      <c r="G26" s="74"/>
      <c r="H26" s="25" t="s">
        <v>1414</v>
      </c>
      <c r="I26" s="25" t="s">
        <v>1415</v>
      </c>
      <c r="J26" s="25" t="s">
        <v>1415</v>
      </c>
      <c r="K26" s="75"/>
      <c r="L26" s="74"/>
      <c r="M26" s="74"/>
    </row>
    <row r="27" spans="1:13" s="70" customFormat="1" ht="243" x14ac:dyDescent="0.15">
      <c r="A27" s="74"/>
      <c r="B27" s="74"/>
      <c r="C27" s="74"/>
      <c r="D27" s="25">
        <v>5</v>
      </c>
      <c r="E27" s="77" t="s">
        <v>1416</v>
      </c>
      <c r="F27" s="57" t="s">
        <v>1566</v>
      </c>
      <c r="G27" s="74"/>
      <c r="H27" s="25" t="s">
        <v>1417</v>
      </c>
      <c r="I27" s="25" t="s">
        <v>1418</v>
      </c>
      <c r="J27" s="25" t="s">
        <v>1418</v>
      </c>
      <c r="K27" s="75"/>
      <c r="L27" s="74"/>
      <c r="M27" s="74"/>
    </row>
    <row r="28" spans="1:13" s="70" customFormat="1" ht="175.5" x14ac:dyDescent="0.15">
      <c r="A28" s="74"/>
      <c r="B28" s="74"/>
      <c r="C28" s="74"/>
      <c r="D28" s="25">
        <v>6</v>
      </c>
      <c r="E28" s="77" t="s">
        <v>1419</v>
      </c>
      <c r="F28" s="57" t="s">
        <v>1582</v>
      </c>
      <c r="G28" s="74"/>
      <c r="H28" s="25" t="s">
        <v>1419</v>
      </c>
      <c r="I28" s="25" t="s">
        <v>1420</v>
      </c>
      <c r="J28" s="25" t="s">
        <v>1420</v>
      </c>
      <c r="K28" s="75"/>
      <c r="L28" s="74"/>
      <c r="M28" s="74"/>
    </row>
    <row r="29" spans="1:13" x14ac:dyDescent="0.15">
      <c r="A29" s="72"/>
      <c r="B29" s="72"/>
      <c r="C29" s="72"/>
      <c r="D29" s="71">
        <f t="shared" si="0"/>
        <v>10</v>
      </c>
      <c r="E29" s="77" t="s">
        <v>12</v>
      </c>
      <c r="F29" s="25" t="s">
        <v>958</v>
      </c>
      <c r="G29" s="72"/>
      <c r="H29" s="71" t="s">
        <v>12</v>
      </c>
      <c r="I29" s="71" t="s">
        <v>777</v>
      </c>
      <c r="J29" s="71" t="s">
        <v>778</v>
      </c>
      <c r="K29" s="73" t="s">
        <v>741</v>
      </c>
      <c r="L29" s="72"/>
      <c r="M29" s="72"/>
    </row>
    <row r="30" spans="1:13" x14ac:dyDescent="0.15">
      <c r="A30" s="72"/>
      <c r="B30" s="72"/>
      <c r="C30" s="72"/>
      <c r="D30" s="71">
        <v>8</v>
      </c>
      <c r="E30" s="77" t="s">
        <v>1192</v>
      </c>
      <c r="F30" s="25" t="s">
        <v>1208</v>
      </c>
      <c r="G30" s="72"/>
      <c r="H30" s="71" t="s">
        <v>1192</v>
      </c>
      <c r="I30" s="71" t="s">
        <v>1193</v>
      </c>
      <c r="J30" s="71" t="s">
        <v>1193</v>
      </c>
      <c r="K30" s="73"/>
      <c r="L30" s="72"/>
      <c r="M30" s="72"/>
    </row>
    <row r="31" spans="1:13" ht="297" x14ac:dyDescent="0.15">
      <c r="A31" s="72"/>
      <c r="B31" s="72"/>
      <c r="C31" s="72"/>
      <c r="D31" s="71">
        <v>9</v>
      </c>
      <c r="E31" s="77" t="s">
        <v>1194</v>
      </c>
      <c r="F31" s="57" t="s">
        <v>1209</v>
      </c>
      <c r="G31" s="72"/>
      <c r="H31" s="71" t="s">
        <v>1194</v>
      </c>
      <c r="I31" s="71" t="s">
        <v>1195</v>
      </c>
      <c r="J31" s="71" t="s">
        <v>1195</v>
      </c>
      <c r="K31" s="73"/>
      <c r="L31" s="72"/>
      <c r="M31" s="72"/>
    </row>
    <row r="32" spans="1:13" x14ac:dyDescent="0.15">
      <c r="A32" s="72"/>
      <c r="B32" s="72"/>
      <c r="C32" s="72"/>
      <c r="D32" s="71">
        <f t="shared" si="0"/>
        <v>13</v>
      </c>
      <c r="E32" s="77" t="s">
        <v>822</v>
      </c>
      <c r="F32" s="25" t="s">
        <v>959</v>
      </c>
      <c r="G32" s="72"/>
      <c r="H32" s="71" t="s">
        <v>788</v>
      </c>
      <c r="I32" s="71" t="s">
        <v>782</v>
      </c>
      <c r="J32" s="71" t="s">
        <v>784</v>
      </c>
      <c r="K32" s="73" t="s">
        <v>786</v>
      </c>
      <c r="L32" s="72"/>
      <c r="M32" s="72"/>
    </row>
    <row r="33" spans="1:13" x14ac:dyDescent="0.15">
      <c r="A33" s="72"/>
      <c r="B33" s="72"/>
      <c r="C33" s="72"/>
      <c r="D33" s="71">
        <f t="shared" si="0"/>
        <v>14</v>
      </c>
      <c r="E33" s="77" t="s">
        <v>823</v>
      </c>
      <c r="F33" s="25" t="s">
        <v>960</v>
      </c>
      <c r="G33" s="72"/>
      <c r="H33" s="71" t="s">
        <v>766</v>
      </c>
      <c r="I33" s="71" t="s">
        <v>783</v>
      </c>
      <c r="J33" s="71" t="s">
        <v>785</v>
      </c>
      <c r="K33" s="73" t="s">
        <v>787</v>
      </c>
      <c r="L33" s="72"/>
      <c r="M33" s="72"/>
    </row>
    <row r="34" spans="1:13" x14ac:dyDescent="0.15">
      <c r="A34" s="72"/>
      <c r="B34" s="72"/>
      <c r="C34" s="72"/>
      <c r="D34" s="71">
        <f t="shared" si="0"/>
        <v>15</v>
      </c>
      <c r="E34" s="77" t="s">
        <v>824</v>
      </c>
      <c r="F34" s="71" t="s">
        <v>961</v>
      </c>
      <c r="G34" s="72"/>
      <c r="H34" s="71" t="s">
        <v>22</v>
      </c>
      <c r="I34" s="71" t="s">
        <v>779</v>
      </c>
      <c r="J34" s="71" t="s">
        <v>780</v>
      </c>
      <c r="K34" s="73" t="s">
        <v>746</v>
      </c>
      <c r="L34" s="72"/>
      <c r="M34" s="72"/>
    </row>
    <row r="35" spans="1:13" x14ac:dyDescent="0.15">
      <c r="A35" s="72"/>
      <c r="B35" s="72"/>
      <c r="C35" s="72"/>
      <c r="D35" s="71">
        <f t="shared" si="0"/>
        <v>16</v>
      </c>
      <c r="E35" s="77" t="s">
        <v>20</v>
      </c>
      <c r="F35" s="71" t="s">
        <v>962</v>
      </c>
      <c r="G35" s="72"/>
      <c r="H35" s="71" t="s">
        <v>20</v>
      </c>
      <c r="I35" s="71" t="s">
        <v>781</v>
      </c>
      <c r="J35" s="71" t="s">
        <v>789</v>
      </c>
      <c r="K35" s="73" t="s">
        <v>738</v>
      </c>
      <c r="L35" s="72"/>
      <c r="M35" s="72"/>
    </row>
    <row r="36" spans="1:13" x14ac:dyDescent="0.15">
      <c r="A36" s="72"/>
      <c r="B36" s="72"/>
      <c r="C36" s="72"/>
      <c r="D36" s="71">
        <f t="shared" si="0"/>
        <v>17</v>
      </c>
      <c r="E36" s="77" t="s">
        <v>26</v>
      </c>
      <c r="F36" s="71" t="s">
        <v>963</v>
      </c>
      <c r="G36" s="72"/>
      <c r="H36" s="71" t="s">
        <v>26</v>
      </c>
      <c r="I36" s="71" t="s">
        <v>792</v>
      </c>
      <c r="J36" s="71" t="s">
        <v>793</v>
      </c>
      <c r="K36" s="73" t="s">
        <v>747</v>
      </c>
      <c r="L36" s="72"/>
      <c r="M36" s="72"/>
    </row>
    <row r="37" spans="1:13" x14ac:dyDescent="0.15">
      <c r="A37" s="72"/>
      <c r="B37" s="72"/>
      <c r="C37" s="72"/>
      <c r="D37" s="71">
        <f t="shared" si="0"/>
        <v>18</v>
      </c>
      <c r="E37" s="77" t="s">
        <v>24</v>
      </c>
      <c r="F37" s="71" t="s">
        <v>964</v>
      </c>
      <c r="G37" s="72"/>
      <c r="H37" s="71" t="s">
        <v>24</v>
      </c>
      <c r="I37" s="71" t="s">
        <v>794</v>
      </c>
      <c r="J37" s="71" t="s">
        <v>795</v>
      </c>
      <c r="K37" s="73" t="s">
        <v>742</v>
      </c>
      <c r="L37" s="72"/>
      <c r="M37" s="72"/>
    </row>
    <row r="38" spans="1:13" ht="175.5" x14ac:dyDescent="0.15">
      <c r="A38" s="72"/>
      <c r="B38" s="72"/>
      <c r="C38" s="72"/>
      <c r="D38" s="71">
        <f t="shared" si="0"/>
        <v>19</v>
      </c>
      <c r="E38" s="77" t="s">
        <v>752</v>
      </c>
      <c r="F38" s="57" t="s">
        <v>1571</v>
      </c>
      <c r="G38" s="72"/>
      <c r="H38" s="71" t="s">
        <v>752</v>
      </c>
      <c r="I38" s="71" t="s">
        <v>796</v>
      </c>
      <c r="J38" s="71" t="s">
        <v>751</v>
      </c>
      <c r="K38" s="73"/>
      <c r="L38" s="72"/>
      <c r="M38" s="72"/>
    </row>
    <row r="39" spans="1:13" x14ac:dyDescent="0.15">
      <c r="A39" s="72"/>
      <c r="B39" s="72"/>
      <c r="C39" s="72"/>
      <c r="D39" s="71">
        <f t="shared" si="0"/>
        <v>20</v>
      </c>
      <c r="E39" s="77" t="s">
        <v>825</v>
      </c>
      <c r="F39" s="71" t="s">
        <v>965</v>
      </c>
      <c r="G39" s="72"/>
      <c r="H39" s="71" t="s">
        <v>797</v>
      </c>
      <c r="I39" s="71" t="s">
        <v>798</v>
      </c>
      <c r="J39" s="71" t="s">
        <v>798</v>
      </c>
      <c r="K39" s="73" t="s">
        <v>799</v>
      </c>
      <c r="L39" s="72"/>
      <c r="M39" s="72"/>
    </row>
    <row r="40" spans="1:13" ht="39" customHeight="1" x14ac:dyDescent="0.15">
      <c r="A40" s="72"/>
      <c r="B40" s="72"/>
      <c r="C40" s="72"/>
      <c r="D40" s="71">
        <f t="shared" si="0"/>
        <v>21</v>
      </c>
      <c r="E40" s="77" t="s">
        <v>894</v>
      </c>
      <c r="F40" s="76" t="s">
        <v>966</v>
      </c>
      <c r="G40" s="72"/>
      <c r="H40" s="71" t="s">
        <v>894</v>
      </c>
      <c r="I40" s="71" t="s">
        <v>895</v>
      </c>
      <c r="J40" s="71" t="s">
        <v>896</v>
      </c>
      <c r="K40" s="72"/>
      <c r="L40" s="72"/>
      <c r="M40" s="72"/>
    </row>
    <row r="41" spans="1:13" ht="39" customHeight="1" x14ac:dyDescent="0.15">
      <c r="A41" s="72"/>
      <c r="B41" s="72"/>
      <c r="C41" s="72"/>
      <c r="D41" s="71">
        <f t="shared" si="0"/>
        <v>22</v>
      </c>
      <c r="E41" s="77" t="s">
        <v>897</v>
      </c>
      <c r="F41" s="76" t="s">
        <v>967</v>
      </c>
      <c r="G41" s="72"/>
      <c r="H41" s="71" t="s">
        <v>897</v>
      </c>
      <c r="I41" s="71" t="s">
        <v>898</v>
      </c>
      <c r="J41" s="71" t="s">
        <v>899</v>
      </c>
      <c r="K41" s="72"/>
      <c r="L41" s="72"/>
      <c r="M41" s="72"/>
    </row>
    <row r="42" spans="1:13" ht="39" customHeight="1" x14ac:dyDescent="0.15">
      <c r="A42" s="72"/>
      <c r="B42" s="72"/>
      <c r="C42" s="72"/>
      <c r="D42" s="71">
        <f t="shared" si="0"/>
        <v>23</v>
      </c>
      <c r="E42" s="77" t="s">
        <v>900</v>
      </c>
      <c r="F42" s="76" t="s">
        <v>985</v>
      </c>
      <c r="G42" s="72"/>
      <c r="H42" s="71" t="s">
        <v>900</v>
      </c>
      <c r="I42" s="71" t="s">
        <v>901</v>
      </c>
      <c r="J42" s="71" t="s">
        <v>902</v>
      </c>
      <c r="K42" s="72"/>
      <c r="L42" s="72"/>
      <c r="M42" s="72"/>
    </row>
    <row r="43" spans="1:13" ht="39" customHeight="1" x14ac:dyDescent="0.15">
      <c r="A43" s="72"/>
      <c r="B43" s="72"/>
      <c r="C43" s="72"/>
      <c r="D43" s="71">
        <f t="shared" si="0"/>
        <v>24</v>
      </c>
      <c r="E43" s="77" t="s">
        <v>892</v>
      </c>
      <c r="F43" s="76" t="s">
        <v>1568</v>
      </c>
      <c r="G43" s="72"/>
      <c r="H43" s="71" t="s">
        <v>892</v>
      </c>
      <c r="I43" s="71" t="s">
        <v>893</v>
      </c>
      <c r="J43" s="71" t="s">
        <v>892</v>
      </c>
      <c r="K43" s="73"/>
      <c r="L43" s="72"/>
      <c r="M43" s="72"/>
    </row>
    <row r="44" spans="1:13" ht="39" customHeight="1" x14ac:dyDescent="0.15">
      <c r="A44" s="72"/>
      <c r="B44" s="72"/>
      <c r="C44" s="72"/>
      <c r="D44" s="71">
        <f t="shared" si="0"/>
        <v>25</v>
      </c>
      <c r="E44" s="77" t="s">
        <v>881</v>
      </c>
      <c r="F44" s="76" t="s">
        <v>1555</v>
      </c>
      <c r="G44" s="72"/>
      <c r="H44" s="71" t="s">
        <v>881</v>
      </c>
      <c r="I44" s="71" t="s">
        <v>882</v>
      </c>
      <c r="J44" s="71" t="s">
        <v>881</v>
      </c>
      <c r="K44" s="73"/>
      <c r="L44" s="72"/>
      <c r="M44" s="72"/>
    </row>
    <row r="45" spans="1:13" ht="39" customHeight="1" x14ac:dyDescent="0.15">
      <c r="A45" s="72"/>
      <c r="B45" s="72"/>
      <c r="C45" s="72"/>
      <c r="D45" s="71">
        <f t="shared" si="0"/>
        <v>26</v>
      </c>
      <c r="E45" s="77" t="s">
        <v>883</v>
      </c>
      <c r="F45" s="76" t="s">
        <v>1569</v>
      </c>
      <c r="G45" s="72"/>
      <c r="H45" s="71" t="s">
        <v>883</v>
      </c>
      <c r="I45" s="71" t="s">
        <v>884</v>
      </c>
      <c r="J45" s="71" t="s">
        <v>885</v>
      </c>
      <c r="K45" s="73"/>
      <c r="L45" s="72"/>
      <c r="M45" s="72"/>
    </row>
    <row r="46" spans="1:13" ht="39" customHeight="1" x14ac:dyDescent="0.15">
      <c r="A46" s="72"/>
      <c r="B46" s="72"/>
      <c r="C46" s="72"/>
      <c r="D46" s="71">
        <f t="shared" si="0"/>
        <v>27</v>
      </c>
      <c r="E46" s="77" t="s">
        <v>970</v>
      </c>
      <c r="F46" s="76" t="s">
        <v>968</v>
      </c>
      <c r="G46" s="72"/>
      <c r="H46" s="71" t="s">
        <v>971</v>
      </c>
      <c r="I46" s="71" t="s">
        <v>973</v>
      </c>
      <c r="J46" s="71" t="s">
        <v>972</v>
      </c>
      <c r="K46" s="72"/>
      <c r="L46" s="72"/>
      <c r="M46" s="72"/>
    </row>
    <row r="47" spans="1:13" ht="103.5" customHeight="1" x14ac:dyDescent="0.15">
      <c r="A47" s="72"/>
      <c r="B47" s="72"/>
      <c r="C47" s="72"/>
      <c r="D47" s="71">
        <f t="shared" si="0"/>
        <v>28</v>
      </c>
      <c r="E47" s="77" t="s">
        <v>990</v>
      </c>
      <c r="F47" s="76" t="s">
        <v>1575</v>
      </c>
      <c r="G47" s="72"/>
      <c r="H47" s="71" t="s">
        <v>990</v>
      </c>
      <c r="I47" s="71" t="s">
        <v>991</v>
      </c>
      <c r="J47" s="71" t="s">
        <v>992</v>
      </c>
      <c r="K47" s="72"/>
      <c r="L47" s="72"/>
      <c r="M47" s="72"/>
    </row>
    <row r="48" spans="1:13" ht="123.75" customHeight="1" x14ac:dyDescent="0.15">
      <c r="A48" s="72"/>
      <c r="B48" s="72"/>
      <c r="C48" s="72"/>
      <c r="D48" s="71">
        <f t="shared" si="0"/>
        <v>29</v>
      </c>
      <c r="E48" s="77" t="s">
        <v>993</v>
      </c>
      <c r="F48" s="76" t="s">
        <v>1573</v>
      </c>
      <c r="G48" s="72"/>
      <c r="H48" s="71" t="s">
        <v>993</v>
      </c>
      <c r="I48" s="71" t="s">
        <v>994</v>
      </c>
      <c r="J48" s="71" t="s">
        <v>995</v>
      </c>
      <c r="K48" s="72"/>
      <c r="L48" s="72"/>
      <c r="M48" s="72"/>
    </row>
    <row r="49" spans="1:13" ht="132" customHeight="1" x14ac:dyDescent="0.15">
      <c r="A49" s="72"/>
      <c r="B49" s="72"/>
      <c r="C49" s="72"/>
      <c r="D49" s="71">
        <f t="shared" si="0"/>
        <v>30</v>
      </c>
      <c r="E49" s="77" t="s">
        <v>996</v>
      </c>
      <c r="F49" s="76" t="s">
        <v>1574</v>
      </c>
      <c r="G49" s="72"/>
      <c r="H49" s="71" t="s">
        <v>996</v>
      </c>
      <c r="I49" s="71" t="s">
        <v>997</v>
      </c>
      <c r="J49" s="71" t="s">
        <v>998</v>
      </c>
      <c r="K49" s="72"/>
      <c r="L49" s="72"/>
      <c r="M49" s="72"/>
    </row>
    <row r="50" spans="1:13" ht="33.75" x14ac:dyDescent="0.15">
      <c r="A50" s="72"/>
      <c r="B50" s="72"/>
      <c r="C50" s="72"/>
      <c r="D50" s="71">
        <f t="shared" si="0"/>
        <v>31</v>
      </c>
      <c r="E50" s="77" t="s">
        <v>999</v>
      </c>
      <c r="F50" s="76" t="s">
        <v>1702</v>
      </c>
      <c r="G50" s="72"/>
      <c r="H50" s="71" t="s">
        <v>1000</v>
      </c>
      <c r="I50" s="71" t="s">
        <v>1001</v>
      </c>
      <c r="J50" s="71" t="s">
        <v>1002</v>
      </c>
      <c r="K50" s="73"/>
      <c r="L50" s="72"/>
      <c r="M50" s="72"/>
    </row>
    <row r="51" spans="1:13" ht="236.25" x14ac:dyDescent="0.15">
      <c r="A51" s="72"/>
      <c r="B51" s="72"/>
      <c r="C51" s="72"/>
      <c r="D51" s="71">
        <v>31</v>
      </c>
      <c r="E51" s="77" t="s">
        <v>1162</v>
      </c>
      <c r="F51" s="76" t="s">
        <v>1570</v>
      </c>
      <c r="G51" s="72"/>
      <c r="H51" s="71" t="s">
        <v>1163</v>
      </c>
      <c r="I51" s="71" t="s">
        <v>1164</v>
      </c>
      <c r="J51" s="71" t="s">
        <v>1165</v>
      </c>
      <c r="K51" s="73"/>
      <c r="L51" s="72"/>
      <c r="M51" s="72"/>
    </row>
    <row r="52" spans="1:13" ht="148.5" x14ac:dyDescent="0.15">
      <c r="A52" s="72"/>
      <c r="B52" s="72"/>
      <c r="C52" s="72"/>
      <c r="D52" s="71">
        <v>32</v>
      </c>
      <c r="E52" s="77" t="s">
        <v>1421</v>
      </c>
      <c r="F52" s="57" t="s">
        <v>1422</v>
      </c>
      <c r="G52" s="72"/>
      <c r="H52" s="71" t="s">
        <v>1423</v>
      </c>
      <c r="I52" s="71" t="s">
        <v>1424</v>
      </c>
      <c r="J52" s="71" t="s">
        <v>1424</v>
      </c>
      <c r="K52" s="73"/>
      <c r="L52" s="72"/>
      <c r="M52" s="72"/>
    </row>
    <row r="53" spans="1:13" ht="108" x14ac:dyDescent="0.15">
      <c r="D53" s="102">
        <v>33</v>
      </c>
      <c r="E53" s="103" t="s">
        <v>1703</v>
      </c>
      <c r="F53" s="104" t="s">
        <v>1707</v>
      </c>
      <c r="G53" s="72"/>
      <c r="H53" s="102" t="s">
        <v>1606</v>
      </c>
      <c r="I53" s="102" t="s">
        <v>1607</v>
      </c>
      <c r="J53" s="102" t="s">
        <v>1606</v>
      </c>
    </row>
  </sheetData>
  <mergeCells count="3">
    <mergeCell ref="E18:F18"/>
    <mergeCell ref="H18:I18"/>
    <mergeCell ref="D18:D19"/>
  </mergeCells>
  <phoneticPr fontId="1"/>
  <hyperlinks>
    <hyperlink ref="E20" location="kamoku_master!A1" display="科目マスター" xr:uid="{00000000-0004-0000-0000-000000000000}"/>
    <hyperlink ref="E22" location="bumon_master!A1" display="部門マスター一覧" xr:uid="{00000000-0004-0000-0000-000001000000}"/>
    <hyperlink ref="E24" location="torihikisaki_master!A1" display="取引先マスター一覧" xr:uid="{00000000-0004-0000-0000-000002000000}"/>
    <hyperlink ref="E21" location="kamoku_edaban_zandaka!A1" display="科目枝番残高" xr:uid="{00000000-0004-0000-0000-000003000000}"/>
    <hyperlink ref="E23" location="bumon_kamoku_zandaka!A1" display="部門科目残高" xr:uid="{00000000-0004-0000-0000-000004000000}"/>
    <hyperlink ref="E29" location="torihikisaki_kamoku_zandaka!A1" display="取引先科目残高" xr:uid="{00000000-0004-0000-0000-000005000000}"/>
    <hyperlink ref="E37" location="uf3_zandaka!A1" display="ユニバーサルフィールド３残高" xr:uid="{00000000-0004-0000-0000-000006000000}"/>
    <hyperlink ref="E36" location="uf3_ichiran!A1" display="ユニバーサルフィールド３一覧" xr:uid="{00000000-0004-0000-0000-000007000000}"/>
    <hyperlink ref="E25" location="torihikisaki!A1" display="取引先マスター（依頼先）" xr:uid="{00000000-0004-0000-0000-000008000000}"/>
    <hyperlink ref="E38" location="kaisha_info!A1" display="会社情報" xr:uid="{00000000-0004-0000-0000-000009000000}"/>
    <hyperlink ref="E39" location="project_master!A1" display="プロジェクトマスター" xr:uid="{00000000-0004-0000-0000-00000A000000}"/>
    <hyperlink ref="E32" location="uf1_ichiran!A1" display="ユニバーサルフィールド１一覧" xr:uid="{00000000-0004-0000-0000-00000B000000}"/>
    <hyperlink ref="E33" location="uf1_zandaka!A1" display="ユニバーサルフィールド１残高" xr:uid="{00000000-0004-0000-0000-00000C000000}"/>
    <hyperlink ref="E34" location="uf2_ichiran!A1" display="ユニバーサルフィールド２一覧" xr:uid="{00000000-0004-0000-0000-00000D000000}"/>
    <hyperlink ref="E35" location="uf2_zandaka!A1" display="ユニバーサルフィールド２残高" xr:uid="{00000000-0004-0000-0000-00000E000000}"/>
    <hyperlink ref="E44" location="open21_bumon!A1" display="Open21集計部門" xr:uid="{00000000-0004-0000-0000-00000F000000}"/>
    <hyperlink ref="E45" location="open21_kamoku!A1" display="Open21集計科目" xr:uid="{00000000-0004-0000-0000-000010000000}"/>
    <hyperlink ref="E40" location="kamoku_master!A1" display="科目マスター" xr:uid="{00000000-0004-0000-0000-000011000000}"/>
    <hyperlink ref="E47" location="部門科目予算!A1" display="部門科目予算" xr:uid="{2A742245-72CA-48CB-AD6C-CFE00A983D0B}"/>
    <hyperlink ref="E48" location="部門科目枝番残高!A1" display="部門科目枝番残高" xr:uid="{75E980EA-AE96-48F7-B719-70CD4EECF154}"/>
    <hyperlink ref="E49" location="部門科目枝番予算!A1" display="部門科目枝番予算" xr:uid="{27F3947A-402E-4B6F-A5D4-4954009A7148}"/>
    <hyperlink ref="E50" location="集計部門!A1" display="部門科目枝番予算" xr:uid="{BFA83711-3E6C-47BD-BEBA-1ECBC1A928C7}"/>
    <hyperlink ref="E51" location="集計部門!A1" display="部門科目枝番予算" xr:uid="{23046CA2-D8EE-4A4D-B230-A3223B7BE53A}"/>
    <hyperlink ref="E30" location="kamoku_master!A1" display="科目マスター" xr:uid="{3B646637-DE8F-4D7D-957B-0FA4A8D242C3}"/>
    <hyperlink ref="E31" location="kamoku_edaban_zandaka!A1" display="科目枝番残高" xr:uid="{0A6E0297-4BB8-450B-8F88-77CD985172A8}"/>
    <hyperlink ref="E26" location="torihikisaki_furikomisaki!A1" display="取引先振込先銀行" xr:uid="{5BC28D8F-069A-4C15-BE66-D166515817C1}"/>
    <hyperlink ref="E27" location="torihikisaki_shiharaihouhou!A1" display="取引先支払方法" xr:uid="{02EF6089-3042-4547-B55C-8B2FF5C61587}"/>
    <hyperlink ref="E28" location="torihikisaki_hojo!A1" display="取引先マスター（依頼先）" xr:uid="{598DB376-491D-4EFB-AD00-02F8EC2B4258}"/>
    <hyperlink ref="E52" location="open21_kinyuukikan!A1" display="金融機関" xr:uid="{FE50F23F-9912-40DB-A0AD-596C1451B747}"/>
    <hyperlink ref="E53" location="テーブルマッピング!A1" display="消費税ボリューム" xr:uid="{FEB07EA5-4994-4447-92A0-123661AE09B1}"/>
  </hyperlinks>
  <pageMargins left="0.70866141732283472" right="0.70866141732283472" top="0.74803149606299213" bottom="0.74803149606299213" header="0.31496062992125984" footer="0.31496062992125984"/>
  <pageSetup paperSize="9" scale="80" fitToHeight="0" orientation="landscape"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ボタン 2">
              <controlPr defaultSize="0" print="0" autoFill="0" autoPict="0" macro="[0]!CSV作成マクロ.Macro1">
                <anchor moveWithCells="1" sizeWithCells="1">
                  <from>
                    <xdr:col>8</xdr:col>
                    <xdr:colOff>171450</xdr:colOff>
                    <xdr:row>4</xdr:row>
                    <xdr:rowOff>9525</xdr:rowOff>
                  </from>
                  <to>
                    <xdr:col>8</xdr:col>
                    <xdr:colOff>2286000</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2:P710"/>
  <sheetViews>
    <sheetView view="pageBreakPreview" topLeftCell="A13" zoomScaleSheetLayoutView="100" workbookViewId="0"/>
  </sheetViews>
  <sheetFormatPr defaultRowHeight="13.5" x14ac:dyDescent="0.15"/>
  <cols>
    <col min="1" max="2" width="2.25" customWidth="1"/>
    <col min="3" max="3" width="4.5" bestFit="1" customWidth="1"/>
    <col min="4" max="4" width="8.125" bestFit="1" customWidth="1"/>
    <col min="5" max="5" width="29.625" customWidth="1"/>
    <col min="6" max="6" width="8.25" bestFit="1" customWidth="1"/>
    <col min="7" max="7" width="5.375" bestFit="1" customWidth="1"/>
    <col min="8" max="8" width="6" bestFit="1" customWidth="1"/>
    <col min="9" max="9" width="65.75" hidden="1" customWidth="1"/>
    <col min="10" max="10" width="2.25" customWidth="1"/>
    <col min="11" max="11" width="4.5" bestFit="1" customWidth="1"/>
    <col min="12" max="12" width="35.75" bestFit="1" customWidth="1"/>
    <col min="13" max="13" width="29" customWidth="1"/>
    <col min="14" max="14" width="8" bestFit="1" customWidth="1"/>
    <col min="15" max="15" width="9.25" bestFit="1" customWidth="1"/>
    <col min="16" max="16" width="11.75" bestFit="1" customWidth="1"/>
  </cols>
  <sheetData>
    <row r="2" spans="2:16" x14ac:dyDescent="0.15">
      <c r="B2" s="5" t="str">
        <f>テーブルマッピング!E20</f>
        <v>科目マスター</v>
      </c>
      <c r="D2" s="2"/>
      <c r="E2" s="2"/>
    </row>
    <row r="3" spans="2:16" x14ac:dyDescent="0.15">
      <c r="C3" s="8" t="s">
        <v>172</v>
      </c>
      <c r="D3" s="2"/>
      <c r="E3" s="2"/>
    </row>
    <row r="4" spans="2:16" x14ac:dyDescent="0.15">
      <c r="C4" s="8"/>
      <c r="D4" s="2"/>
      <c r="E4" s="2"/>
    </row>
    <row r="5" spans="2:16" x14ac:dyDescent="0.15">
      <c r="C5" s="13" t="s">
        <v>182</v>
      </c>
      <c r="D5" s="6"/>
      <c r="E5" s="2"/>
      <c r="H5" s="19"/>
      <c r="K5" s="14" t="s">
        <v>184</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4" customFormat="1" x14ac:dyDescent="0.15">
      <c r="C7" s="25">
        <v>3</v>
      </c>
      <c r="D7" s="25" t="s">
        <v>41</v>
      </c>
      <c r="E7" s="25" t="s">
        <v>42</v>
      </c>
      <c r="F7" s="25" t="s">
        <v>39</v>
      </c>
      <c r="G7" s="25">
        <v>8</v>
      </c>
      <c r="H7" s="25" t="s">
        <v>40</v>
      </c>
      <c r="I7" s="25"/>
      <c r="K7" s="25">
        <v>1</v>
      </c>
      <c r="L7" s="25" t="s">
        <v>42</v>
      </c>
      <c r="M7" s="57" t="s">
        <v>188</v>
      </c>
      <c r="N7" s="25" t="s">
        <v>254</v>
      </c>
      <c r="O7" s="80">
        <v>1</v>
      </c>
      <c r="P7" s="25" t="s">
        <v>225</v>
      </c>
    </row>
    <row r="8" spans="2:16" s="74" customFormat="1" x14ac:dyDescent="0.15">
      <c r="C8" s="25">
        <v>2</v>
      </c>
      <c r="D8" s="25" t="s">
        <v>37</v>
      </c>
      <c r="E8" s="25" t="s">
        <v>38</v>
      </c>
      <c r="F8" s="25" t="s">
        <v>39</v>
      </c>
      <c r="G8" s="25">
        <v>15</v>
      </c>
      <c r="H8" s="25" t="s">
        <v>40</v>
      </c>
      <c r="I8" s="25"/>
      <c r="K8" s="25">
        <v>2</v>
      </c>
      <c r="L8" s="25" t="s">
        <v>38</v>
      </c>
      <c r="M8" s="57" t="s">
        <v>191</v>
      </c>
      <c r="N8" s="25" t="s">
        <v>254</v>
      </c>
      <c r="O8" s="80">
        <v>0</v>
      </c>
      <c r="P8" s="25" t="s">
        <v>225</v>
      </c>
    </row>
    <row r="9" spans="2:16" s="74" customFormat="1" x14ac:dyDescent="0.15">
      <c r="C9" s="25">
        <v>4</v>
      </c>
      <c r="D9" s="25" t="s">
        <v>43</v>
      </c>
      <c r="E9" s="25" t="s">
        <v>44</v>
      </c>
      <c r="F9" s="25" t="s">
        <v>39</v>
      </c>
      <c r="G9" s="25">
        <v>22</v>
      </c>
      <c r="H9" s="25"/>
      <c r="I9" s="25"/>
      <c r="K9" s="25">
        <v>3</v>
      </c>
      <c r="L9" s="25" t="s">
        <v>192</v>
      </c>
      <c r="M9" s="57" t="s">
        <v>193</v>
      </c>
      <c r="N9" s="25" t="s">
        <v>254</v>
      </c>
      <c r="O9" s="80">
        <v>0</v>
      </c>
      <c r="P9" s="25" t="s">
        <v>225</v>
      </c>
    </row>
    <row r="10" spans="2:16" s="74" customFormat="1" x14ac:dyDescent="0.15">
      <c r="C10" s="25">
        <v>5</v>
      </c>
      <c r="D10" s="25" t="s">
        <v>45</v>
      </c>
      <c r="E10" s="25" t="s">
        <v>46</v>
      </c>
      <c r="F10" s="25" t="s">
        <v>39</v>
      </c>
      <c r="G10" s="25">
        <v>40</v>
      </c>
      <c r="H10" s="25"/>
      <c r="I10" s="25"/>
      <c r="K10" s="25">
        <v>4</v>
      </c>
      <c r="L10" s="25" t="s">
        <v>194</v>
      </c>
      <c r="M10" s="57" t="s">
        <v>195</v>
      </c>
      <c r="N10" s="25" t="s">
        <v>254</v>
      </c>
      <c r="O10" s="80">
        <v>0</v>
      </c>
      <c r="P10" s="25" t="s">
        <v>225</v>
      </c>
    </row>
    <row r="11" spans="2:16" s="74" customFormat="1" x14ac:dyDescent="0.15">
      <c r="C11" s="25">
        <v>1</v>
      </c>
      <c r="D11" s="25" t="s">
        <v>33</v>
      </c>
      <c r="E11" s="25" t="s">
        <v>34</v>
      </c>
      <c r="F11" s="25" t="s">
        <v>35</v>
      </c>
      <c r="G11" s="25"/>
      <c r="H11" s="25"/>
      <c r="I11" s="25" t="s">
        <v>36</v>
      </c>
      <c r="K11" s="25">
        <v>5</v>
      </c>
      <c r="L11" s="25" t="s">
        <v>34</v>
      </c>
      <c r="M11" s="57" t="s">
        <v>187</v>
      </c>
      <c r="N11" s="57" t="s">
        <v>35</v>
      </c>
      <c r="O11" s="80">
        <v>0</v>
      </c>
      <c r="P11" s="81"/>
    </row>
    <row r="12" spans="2:16" s="74" customFormat="1" x14ac:dyDescent="0.15">
      <c r="C12" s="25">
        <v>6</v>
      </c>
      <c r="D12" s="25" t="s">
        <v>48</v>
      </c>
      <c r="E12" s="25" t="s">
        <v>49</v>
      </c>
      <c r="F12" s="25" t="s">
        <v>35</v>
      </c>
      <c r="G12" s="25"/>
      <c r="H12" s="25"/>
      <c r="I12" s="25"/>
      <c r="K12" s="25">
        <v>6</v>
      </c>
      <c r="L12" s="25" t="s">
        <v>198</v>
      </c>
      <c r="M12" s="57" t="s">
        <v>199</v>
      </c>
      <c r="N12" s="57" t="s">
        <v>35</v>
      </c>
      <c r="O12" s="80">
        <v>0</v>
      </c>
      <c r="P12" s="81"/>
    </row>
    <row r="13" spans="2:16" s="74" customFormat="1" x14ac:dyDescent="0.15">
      <c r="C13" s="25">
        <v>7</v>
      </c>
      <c r="D13" s="25" t="s">
        <v>50</v>
      </c>
      <c r="E13" s="25" t="s">
        <v>51</v>
      </c>
      <c r="F13" s="25" t="s">
        <v>35</v>
      </c>
      <c r="G13" s="25"/>
      <c r="H13" s="25"/>
      <c r="I13" s="25" t="s">
        <v>52</v>
      </c>
      <c r="K13" s="25">
        <v>7</v>
      </c>
      <c r="L13" s="25" t="s">
        <v>51</v>
      </c>
      <c r="M13" s="57" t="s">
        <v>200</v>
      </c>
      <c r="N13" s="57" t="s">
        <v>35</v>
      </c>
      <c r="O13" s="80">
        <v>0</v>
      </c>
      <c r="P13" s="81"/>
    </row>
    <row r="14" spans="2:16" s="74" customFormat="1" ht="27" x14ac:dyDescent="0.15">
      <c r="C14" s="25">
        <v>8</v>
      </c>
      <c r="D14" s="25" t="s">
        <v>53</v>
      </c>
      <c r="E14" s="25" t="s">
        <v>54</v>
      </c>
      <c r="F14" s="25" t="s">
        <v>35</v>
      </c>
      <c r="G14" s="57"/>
      <c r="H14" s="57"/>
      <c r="I14" s="57" t="s">
        <v>112</v>
      </c>
      <c r="K14" s="25">
        <v>8</v>
      </c>
      <c r="L14" s="25" t="s">
        <v>54</v>
      </c>
      <c r="M14" s="57" t="s">
        <v>255</v>
      </c>
      <c r="N14" s="57" t="s">
        <v>35</v>
      </c>
      <c r="O14" s="80">
        <v>0</v>
      </c>
      <c r="P14" s="81"/>
    </row>
    <row r="15" spans="2:16" s="74" customFormat="1" x14ac:dyDescent="0.15">
      <c r="C15" s="25">
        <v>9</v>
      </c>
      <c r="D15" s="25" t="s">
        <v>55</v>
      </c>
      <c r="E15" s="25" t="s">
        <v>56</v>
      </c>
      <c r="F15" s="25" t="s">
        <v>35</v>
      </c>
      <c r="G15" s="25"/>
      <c r="H15" s="25"/>
      <c r="I15" s="25"/>
      <c r="K15" s="25">
        <v>9</v>
      </c>
      <c r="L15" s="25" t="s">
        <v>56</v>
      </c>
      <c r="M15" s="57" t="s">
        <v>256</v>
      </c>
      <c r="N15" s="57" t="s">
        <v>35</v>
      </c>
      <c r="O15" s="80">
        <v>0</v>
      </c>
      <c r="P15" s="81"/>
    </row>
    <row r="16" spans="2:16" s="74" customFormat="1" ht="40.5" x14ac:dyDescent="0.15">
      <c r="C16" s="25">
        <v>10</v>
      </c>
      <c r="D16" s="25" t="s">
        <v>57</v>
      </c>
      <c r="E16" s="25" t="s">
        <v>58</v>
      </c>
      <c r="F16" s="25" t="s">
        <v>35</v>
      </c>
      <c r="G16" s="57"/>
      <c r="H16" s="57"/>
      <c r="I16" s="57" t="s">
        <v>113</v>
      </c>
      <c r="K16" s="25">
        <v>10</v>
      </c>
      <c r="L16" s="25" t="s">
        <v>58</v>
      </c>
      <c r="M16" s="57" t="s">
        <v>257</v>
      </c>
      <c r="N16" s="57" t="s">
        <v>35</v>
      </c>
      <c r="O16" s="80">
        <v>0</v>
      </c>
      <c r="P16" s="81"/>
    </row>
    <row r="17" spans="3:16" s="74" customFormat="1" x14ac:dyDescent="0.15">
      <c r="C17" s="25">
        <v>11</v>
      </c>
      <c r="D17" s="25" t="s">
        <v>59</v>
      </c>
      <c r="E17" s="25" t="s">
        <v>60</v>
      </c>
      <c r="F17" s="25" t="s">
        <v>35</v>
      </c>
      <c r="G17" s="25"/>
      <c r="H17" s="25"/>
      <c r="I17" s="25" t="s">
        <v>61</v>
      </c>
      <c r="K17" s="25">
        <v>11</v>
      </c>
      <c r="L17" s="25" t="s">
        <v>60</v>
      </c>
      <c r="M17" s="57" t="s">
        <v>258</v>
      </c>
      <c r="N17" s="57" t="s">
        <v>35</v>
      </c>
      <c r="O17" s="80">
        <v>0</v>
      </c>
      <c r="P17" s="81"/>
    </row>
    <row r="18" spans="3:16" s="74" customFormat="1" ht="94.5" x14ac:dyDescent="0.15">
      <c r="C18" s="25">
        <v>12</v>
      </c>
      <c r="D18" s="25" t="s">
        <v>62</v>
      </c>
      <c r="E18" s="25" t="s">
        <v>63</v>
      </c>
      <c r="F18" s="25" t="s">
        <v>35</v>
      </c>
      <c r="G18" s="57"/>
      <c r="H18" s="57"/>
      <c r="I18" s="57" t="s">
        <v>109</v>
      </c>
      <c r="K18" s="25">
        <v>12</v>
      </c>
      <c r="L18" s="25" t="s">
        <v>63</v>
      </c>
      <c r="M18" s="57" t="s">
        <v>259</v>
      </c>
      <c r="N18" s="57" t="s">
        <v>35</v>
      </c>
      <c r="O18" s="80">
        <v>0</v>
      </c>
      <c r="P18" s="81"/>
    </row>
    <row r="19" spans="3:16" s="74" customFormat="1" ht="27" x14ac:dyDescent="0.15">
      <c r="C19" s="25">
        <v>13</v>
      </c>
      <c r="D19" s="25" t="s">
        <v>64</v>
      </c>
      <c r="E19" s="25" t="s">
        <v>65</v>
      </c>
      <c r="F19" s="25" t="s">
        <v>35</v>
      </c>
      <c r="G19" s="57"/>
      <c r="H19" s="57"/>
      <c r="I19" s="57" t="s">
        <v>110</v>
      </c>
      <c r="K19" s="25">
        <v>13</v>
      </c>
      <c r="L19" s="25" t="s">
        <v>65</v>
      </c>
      <c r="M19" s="57" t="s">
        <v>260</v>
      </c>
      <c r="N19" s="57" t="s">
        <v>35</v>
      </c>
      <c r="O19" s="80">
        <v>0</v>
      </c>
      <c r="P19" s="81"/>
    </row>
    <row r="20" spans="3:16" s="74" customFormat="1" x14ac:dyDescent="0.15">
      <c r="C20" s="25">
        <v>14</v>
      </c>
      <c r="D20" s="25" t="s">
        <v>66</v>
      </c>
      <c r="E20" s="25" t="s">
        <v>67</v>
      </c>
      <c r="F20" s="25" t="s">
        <v>35</v>
      </c>
      <c r="G20" s="25"/>
      <c r="H20" s="25"/>
      <c r="I20" s="25" t="s">
        <v>68</v>
      </c>
      <c r="K20" s="25">
        <v>14</v>
      </c>
      <c r="L20" s="25" t="s">
        <v>67</v>
      </c>
      <c r="M20" s="57" t="s">
        <v>261</v>
      </c>
      <c r="N20" s="57" t="s">
        <v>35</v>
      </c>
      <c r="O20" s="80">
        <v>0</v>
      </c>
      <c r="P20" s="81"/>
    </row>
    <row r="21" spans="3:16" s="74" customFormat="1" ht="27" x14ac:dyDescent="0.15">
      <c r="C21" s="25">
        <v>15</v>
      </c>
      <c r="D21" s="25" t="s">
        <v>69</v>
      </c>
      <c r="E21" s="25" t="s">
        <v>70</v>
      </c>
      <c r="F21" s="25" t="s">
        <v>35</v>
      </c>
      <c r="G21" s="57"/>
      <c r="H21" s="57"/>
      <c r="I21" s="57" t="s">
        <v>111</v>
      </c>
      <c r="K21" s="25">
        <v>15</v>
      </c>
      <c r="L21" s="25" t="s">
        <v>70</v>
      </c>
      <c r="M21" s="57" t="s">
        <v>262</v>
      </c>
      <c r="N21" s="57" t="s">
        <v>35</v>
      </c>
      <c r="O21" s="80">
        <v>0</v>
      </c>
      <c r="P21" s="81"/>
    </row>
    <row r="22" spans="3:16" s="74" customFormat="1" x14ac:dyDescent="0.15">
      <c r="C22" s="25">
        <v>16</v>
      </c>
      <c r="D22" s="25" t="s">
        <v>71</v>
      </c>
      <c r="E22" s="25" t="s">
        <v>72</v>
      </c>
      <c r="F22" s="25" t="s">
        <v>35</v>
      </c>
      <c r="G22" s="25"/>
      <c r="H22" s="25"/>
      <c r="I22" s="25" t="s">
        <v>73</v>
      </c>
      <c r="K22" s="25">
        <v>16</v>
      </c>
      <c r="L22" s="25" t="s">
        <v>72</v>
      </c>
      <c r="M22" s="57" t="s">
        <v>263</v>
      </c>
      <c r="N22" s="57" t="s">
        <v>35</v>
      </c>
      <c r="O22" s="80">
        <v>0</v>
      </c>
      <c r="P22" s="81"/>
    </row>
    <row r="23" spans="3:16" s="74" customFormat="1" x14ac:dyDescent="0.15">
      <c r="C23" s="25">
        <v>17</v>
      </c>
      <c r="D23" s="25" t="s">
        <v>74</v>
      </c>
      <c r="E23" s="25" t="s">
        <v>75</v>
      </c>
      <c r="F23" s="25" t="s">
        <v>35</v>
      </c>
      <c r="G23" s="25"/>
      <c r="H23" s="25"/>
      <c r="I23" s="25" t="s">
        <v>76</v>
      </c>
      <c r="K23" s="25">
        <v>17</v>
      </c>
      <c r="L23" s="25" t="s">
        <v>75</v>
      </c>
      <c r="M23" s="57" t="s">
        <v>264</v>
      </c>
      <c r="N23" s="57" t="s">
        <v>35</v>
      </c>
      <c r="O23" s="80">
        <v>0</v>
      </c>
      <c r="P23" s="81"/>
    </row>
    <row r="24" spans="3:16" s="74" customFormat="1" x14ac:dyDescent="0.15">
      <c r="C24" s="25">
        <v>18</v>
      </c>
      <c r="D24" s="25" t="s">
        <v>77</v>
      </c>
      <c r="E24" s="25" t="s">
        <v>78</v>
      </c>
      <c r="F24" s="25" t="s">
        <v>35</v>
      </c>
      <c r="G24" s="25"/>
      <c r="H24" s="25"/>
      <c r="I24" s="25" t="s">
        <v>79</v>
      </c>
      <c r="K24" s="25">
        <v>18</v>
      </c>
      <c r="L24" s="25" t="s">
        <v>78</v>
      </c>
      <c r="M24" s="57" t="s">
        <v>265</v>
      </c>
      <c r="N24" s="57" t="s">
        <v>35</v>
      </c>
      <c r="O24" s="80">
        <v>0</v>
      </c>
      <c r="P24" s="81"/>
    </row>
    <row r="25" spans="3:16" s="74" customFormat="1" x14ac:dyDescent="0.15">
      <c r="C25" s="25">
        <v>19</v>
      </c>
      <c r="D25" s="25" t="s">
        <v>80</v>
      </c>
      <c r="E25" s="25" t="s">
        <v>81</v>
      </c>
      <c r="F25" s="25" t="s">
        <v>35</v>
      </c>
      <c r="G25" s="25"/>
      <c r="H25" s="25"/>
      <c r="I25" s="25" t="s">
        <v>79</v>
      </c>
      <c r="K25" s="25">
        <v>19</v>
      </c>
      <c r="L25" s="25" t="s">
        <v>81</v>
      </c>
      <c r="M25" s="57" t="s">
        <v>266</v>
      </c>
      <c r="N25" s="57" t="s">
        <v>35</v>
      </c>
      <c r="O25" s="80">
        <v>0</v>
      </c>
      <c r="P25" s="81"/>
    </row>
    <row r="26" spans="3:16" s="74" customFormat="1" x14ac:dyDescent="0.15">
      <c r="C26" s="25">
        <v>20</v>
      </c>
      <c r="D26" s="25" t="s">
        <v>82</v>
      </c>
      <c r="E26" s="25" t="s">
        <v>83</v>
      </c>
      <c r="F26" s="25" t="s">
        <v>35</v>
      </c>
      <c r="G26" s="25"/>
      <c r="H26" s="25"/>
      <c r="I26" s="25" t="s">
        <v>79</v>
      </c>
      <c r="K26" s="25">
        <v>20</v>
      </c>
      <c r="L26" s="25" t="s">
        <v>83</v>
      </c>
      <c r="M26" s="57" t="s">
        <v>267</v>
      </c>
      <c r="N26" s="57" t="s">
        <v>35</v>
      </c>
      <c r="O26" s="80">
        <v>0</v>
      </c>
      <c r="P26" s="81"/>
    </row>
    <row r="27" spans="3:16" s="74" customFormat="1" x14ac:dyDescent="0.15">
      <c r="C27" s="25">
        <v>21</v>
      </c>
      <c r="D27" s="25" t="s">
        <v>84</v>
      </c>
      <c r="E27" s="25" t="s">
        <v>85</v>
      </c>
      <c r="F27" s="25" t="s">
        <v>35</v>
      </c>
      <c r="G27" s="25"/>
      <c r="H27" s="25"/>
      <c r="I27" s="25" t="s">
        <v>86</v>
      </c>
      <c r="K27" s="25">
        <v>21</v>
      </c>
      <c r="L27" s="25" t="s">
        <v>85</v>
      </c>
      <c r="M27" s="57" t="s">
        <v>268</v>
      </c>
      <c r="N27" s="57" t="s">
        <v>35</v>
      </c>
      <c r="O27" s="80">
        <v>0</v>
      </c>
      <c r="P27" s="81"/>
    </row>
    <row r="28" spans="3:16" s="74" customFormat="1" x14ac:dyDescent="0.15">
      <c r="C28" s="25">
        <v>22</v>
      </c>
      <c r="D28" s="25" t="s">
        <v>87</v>
      </c>
      <c r="E28" s="25" t="s">
        <v>88</v>
      </c>
      <c r="F28" s="25" t="s">
        <v>35</v>
      </c>
      <c r="G28" s="25"/>
      <c r="H28" s="25"/>
      <c r="I28" s="25" t="s">
        <v>79</v>
      </c>
      <c r="K28" s="25">
        <v>22</v>
      </c>
      <c r="L28" s="25" t="s">
        <v>88</v>
      </c>
      <c r="M28" s="57" t="s">
        <v>269</v>
      </c>
      <c r="N28" s="57" t="s">
        <v>35</v>
      </c>
      <c r="O28" s="80">
        <v>0</v>
      </c>
      <c r="P28" s="81"/>
    </row>
    <row r="29" spans="3:16" s="74" customFormat="1" x14ac:dyDescent="0.15">
      <c r="C29" s="25">
        <v>23</v>
      </c>
      <c r="D29" s="25" t="s">
        <v>89</v>
      </c>
      <c r="E29" s="25" t="s">
        <v>90</v>
      </c>
      <c r="F29" s="25" t="s">
        <v>35</v>
      </c>
      <c r="G29" s="25"/>
      <c r="H29" s="25"/>
      <c r="I29" s="25" t="s">
        <v>79</v>
      </c>
      <c r="K29" s="25">
        <v>23</v>
      </c>
      <c r="L29" s="25" t="s">
        <v>90</v>
      </c>
      <c r="M29" s="57" t="s">
        <v>270</v>
      </c>
      <c r="N29" s="57" t="s">
        <v>35</v>
      </c>
      <c r="O29" s="80">
        <v>0</v>
      </c>
      <c r="P29" s="81"/>
    </row>
    <row r="30" spans="3:16" s="74" customFormat="1" x14ac:dyDescent="0.15">
      <c r="C30" s="25">
        <v>24</v>
      </c>
      <c r="D30" s="25" t="s">
        <v>91</v>
      </c>
      <c r="E30" s="25" t="s">
        <v>106</v>
      </c>
      <c r="F30" s="25" t="s">
        <v>35</v>
      </c>
      <c r="G30" s="25"/>
      <c r="H30" s="25"/>
      <c r="I30" s="25" t="s">
        <v>79</v>
      </c>
      <c r="K30" s="25">
        <v>24</v>
      </c>
      <c r="L30" s="25" t="s">
        <v>271</v>
      </c>
      <c r="M30" s="57" t="s">
        <v>272</v>
      </c>
      <c r="N30" s="57" t="s">
        <v>35</v>
      </c>
      <c r="O30" s="80">
        <v>0</v>
      </c>
      <c r="P30" s="81"/>
    </row>
    <row r="31" spans="3:16" s="74" customFormat="1" x14ac:dyDescent="0.15">
      <c r="C31" s="25">
        <v>25</v>
      </c>
      <c r="D31" s="25" t="s">
        <v>92</v>
      </c>
      <c r="E31" s="25" t="s">
        <v>107</v>
      </c>
      <c r="F31" s="25" t="s">
        <v>35</v>
      </c>
      <c r="G31" s="25"/>
      <c r="H31" s="25"/>
      <c r="I31" s="25" t="s">
        <v>79</v>
      </c>
      <c r="K31" s="25">
        <v>25</v>
      </c>
      <c r="L31" s="25" t="s">
        <v>273</v>
      </c>
      <c r="M31" s="57" t="s">
        <v>274</v>
      </c>
      <c r="N31" s="57" t="s">
        <v>35</v>
      </c>
      <c r="O31" s="80">
        <v>0</v>
      </c>
      <c r="P31" s="81"/>
    </row>
    <row r="32" spans="3:16" s="74" customFormat="1" x14ac:dyDescent="0.15">
      <c r="C32" s="25">
        <v>26</v>
      </c>
      <c r="D32" s="25" t="s">
        <v>93</v>
      </c>
      <c r="E32" s="25" t="s">
        <v>108</v>
      </c>
      <c r="F32" s="25" t="s">
        <v>35</v>
      </c>
      <c r="G32" s="25"/>
      <c r="H32" s="25"/>
      <c r="I32" s="25" t="s">
        <v>79</v>
      </c>
      <c r="K32" s="25">
        <v>26</v>
      </c>
      <c r="L32" s="25" t="s">
        <v>275</v>
      </c>
      <c r="M32" s="57" t="s">
        <v>276</v>
      </c>
      <c r="N32" s="57" t="s">
        <v>35</v>
      </c>
      <c r="O32" s="80">
        <v>0</v>
      </c>
      <c r="P32" s="81"/>
    </row>
    <row r="33" spans="3:16" s="74" customFormat="1" x14ac:dyDescent="0.15">
      <c r="C33" s="25">
        <v>27</v>
      </c>
      <c r="D33" s="25">
        <v>0</v>
      </c>
      <c r="E33" s="25" t="s">
        <v>1210</v>
      </c>
      <c r="F33" s="25" t="s">
        <v>35</v>
      </c>
      <c r="G33" s="25"/>
      <c r="H33" s="25"/>
      <c r="I33" s="25" t="s">
        <v>79</v>
      </c>
      <c r="K33" s="25">
        <v>27</v>
      </c>
      <c r="L33" s="25" t="s">
        <v>1210</v>
      </c>
      <c r="M33" s="57" t="s">
        <v>1211</v>
      </c>
      <c r="N33" s="57" t="s">
        <v>35</v>
      </c>
      <c r="O33" s="80">
        <v>0</v>
      </c>
      <c r="P33" s="81"/>
    </row>
    <row r="34" spans="3:16" s="74" customFormat="1" x14ac:dyDescent="0.15">
      <c r="C34" s="25">
        <v>28</v>
      </c>
      <c r="D34" s="25">
        <v>0</v>
      </c>
      <c r="E34" s="25" t="s">
        <v>1212</v>
      </c>
      <c r="F34" s="25" t="s">
        <v>35</v>
      </c>
      <c r="G34" s="25"/>
      <c r="H34" s="25"/>
      <c r="I34" s="25" t="s">
        <v>79</v>
      </c>
      <c r="K34" s="25">
        <v>28</v>
      </c>
      <c r="L34" s="25" t="s">
        <v>1212</v>
      </c>
      <c r="M34" s="57" t="s">
        <v>1213</v>
      </c>
      <c r="N34" s="57" t="s">
        <v>35</v>
      </c>
      <c r="O34" s="80">
        <v>0</v>
      </c>
      <c r="P34" s="81"/>
    </row>
    <row r="35" spans="3:16" s="74" customFormat="1" x14ac:dyDescent="0.15">
      <c r="C35" s="25">
        <v>29</v>
      </c>
      <c r="D35" s="25">
        <v>0</v>
      </c>
      <c r="E35" s="25" t="s">
        <v>1214</v>
      </c>
      <c r="F35" s="25" t="s">
        <v>35</v>
      </c>
      <c r="G35" s="25"/>
      <c r="H35" s="25"/>
      <c r="I35" s="25" t="s">
        <v>79</v>
      </c>
      <c r="K35" s="25">
        <v>29</v>
      </c>
      <c r="L35" s="25" t="s">
        <v>1214</v>
      </c>
      <c r="M35" s="57" t="s">
        <v>1215</v>
      </c>
      <c r="N35" s="57" t="s">
        <v>35</v>
      </c>
      <c r="O35" s="80">
        <v>0</v>
      </c>
      <c r="P35" s="81"/>
    </row>
    <row r="36" spans="3:16" s="74" customFormat="1" x14ac:dyDescent="0.15">
      <c r="C36" s="25">
        <v>30</v>
      </c>
      <c r="D36" s="25">
        <v>0</v>
      </c>
      <c r="E36" s="25" t="s">
        <v>1216</v>
      </c>
      <c r="F36" s="25" t="s">
        <v>35</v>
      </c>
      <c r="G36" s="25"/>
      <c r="H36" s="25"/>
      <c r="I36" s="25" t="s">
        <v>79</v>
      </c>
      <c r="K36" s="25">
        <v>30</v>
      </c>
      <c r="L36" s="25" t="s">
        <v>1216</v>
      </c>
      <c r="M36" s="57" t="s">
        <v>1217</v>
      </c>
      <c r="N36" s="57" t="s">
        <v>35</v>
      </c>
      <c r="O36" s="80">
        <v>0</v>
      </c>
      <c r="P36" s="81"/>
    </row>
    <row r="37" spans="3:16" s="74" customFormat="1" x14ac:dyDescent="0.15">
      <c r="C37" s="25">
        <v>31</v>
      </c>
      <c r="D37" s="25">
        <v>0</v>
      </c>
      <c r="E37" s="25" t="s">
        <v>1218</v>
      </c>
      <c r="F37" s="25" t="s">
        <v>35</v>
      </c>
      <c r="G37" s="25"/>
      <c r="H37" s="25"/>
      <c r="I37" s="25" t="s">
        <v>79</v>
      </c>
      <c r="K37" s="25">
        <v>31</v>
      </c>
      <c r="L37" s="25" t="s">
        <v>1218</v>
      </c>
      <c r="M37" s="57" t="s">
        <v>1219</v>
      </c>
      <c r="N37" s="57" t="s">
        <v>35</v>
      </c>
      <c r="O37" s="80">
        <v>0</v>
      </c>
      <c r="P37" s="81"/>
    </row>
    <row r="38" spans="3:16" s="74" customFormat="1" x14ac:dyDescent="0.15">
      <c r="C38" s="25">
        <v>32</v>
      </c>
      <c r="D38" s="25">
        <v>0</v>
      </c>
      <c r="E38" s="25" t="s">
        <v>1220</v>
      </c>
      <c r="F38" s="25" t="s">
        <v>35</v>
      </c>
      <c r="G38" s="25"/>
      <c r="H38" s="25"/>
      <c r="I38" s="25" t="s">
        <v>79</v>
      </c>
      <c r="K38" s="25">
        <v>32</v>
      </c>
      <c r="L38" s="25" t="s">
        <v>1220</v>
      </c>
      <c r="M38" s="57" t="s">
        <v>1221</v>
      </c>
      <c r="N38" s="57" t="s">
        <v>35</v>
      </c>
      <c r="O38" s="80">
        <v>0</v>
      </c>
      <c r="P38" s="81"/>
    </row>
    <row r="39" spans="3:16" s="74" customFormat="1" x14ac:dyDescent="0.15">
      <c r="C39" s="25">
        <v>33</v>
      </c>
      <c r="D39" s="25">
        <v>0</v>
      </c>
      <c r="E39" s="25" t="s">
        <v>1222</v>
      </c>
      <c r="F39" s="25" t="s">
        <v>35</v>
      </c>
      <c r="G39" s="25"/>
      <c r="H39" s="25"/>
      <c r="I39" s="25" t="s">
        <v>79</v>
      </c>
      <c r="K39" s="25">
        <v>33</v>
      </c>
      <c r="L39" s="25" t="s">
        <v>1222</v>
      </c>
      <c r="M39" s="57" t="s">
        <v>1223</v>
      </c>
      <c r="N39" s="57" t="s">
        <v>35</v>
      </c>
      <c r="O39" s="80">
        <v>0</v>
      </c>
      <c r="P39" s="81"/>
    </row>
    <row r="40" spans="3:16" s="74" customFormat="1" x14ac:dyDescent="0.15">
      <c r="C40" s="25">
        <v>34</v>
      </c>
      <c r="D40" s="25">
        <v>0</v>
      </c>
      <c r="E40" s="25" t="s">
        <v>1224</v>
      </c>
      <c r="F40" s="25" t="s">
        <v>35</v>
      </c>
      <c r="G40" s="25"/>
      <c r="H40" s="25"/>
      <c r="I40" s="25" t="s">
        <v>79</v>
      </c>
      <c r="K40" s="25">
        <v>34</v>
      </c>
      <c r="L40" s="25" t="s">
        <v>1225</v>
      </c>
      <c r="M40" s="57" t="s">
        <v>1226</v>
      </c>
      <c r="N40" s="57" t="s">
        <v>35</v>
      </c>
      <c r="O40" s="80">
        <v>0</v>
      </c>
      <c r="P40" s="81"/>
    </row>
    <row r="41" spans="3:16" s="74" customFormat="1" x14ac:dyDescent="0.15">
      <c r="C41" s="25">
        <v>35</v>
      </c>
      <c r="D41" s="25">
        <v>0</v>
      </c>
      <c r="E41" s="25" t="s">
        <v>1227</v>
      </c>
      <c r="F41" s="25" t="s">
        <v>35</v>
      </c>
      <c r="G41" s="25"/>
      <c r="H41" s="25"/>
      <c r="I41" s="25" t="s">
        <v>79</v>
      </c>
      <c r="K41" s="25">
        <v>35</v>
      </c>
      <c r="L41" s="25" t="s">
        <v>1227</v>
      </c>
      <c r="M41" s="57" t="s">
        <v>1228</v>
      </c>
      <c r="N41" s="57" t="s">
        <v>35</v>
      </c>
      <c r="O41" s="80">
        <v>0</v>
      </c>
      <c r="P41" s="81"/>
    </row>
    <row r="42" spans="3:16" s="74" customFormat="1" x14ac:dyDescent="0.15">
      <c r="C42" s="25">
        <v>36</v>
      </c>
      <c r="D42" s="25">
        <v>0</v>
      </c>
      <c r="E42" s="25" t="s">
        <v>1229</v>
      </c>
      <c r="F42" s="25" t="s">
        <v>35</v>
      </c>
      <c r="G42" s="25"/>
      <c r="H42" s="25"/>
      <c r="I42" s="25" t="s">
        <v>79</v>
      </c>
      <c r="K42" s="25">
        <v>36</v>
      </c>
      <c r="L42" s="25" t="s">
        <v>1229</v>
      </c>
      <c r="M42" s="57" t="s">
        <v>1230</v>
      </c>
      <c r="N42" s="57" t="s">
        <v>35</v>
      </c>
      <c r="O42" s="80">
        <v>0</v>
      </c>
      <c r="P42" s="81"/>
    </row>
    <row r="43" spans="3:16" s="74" customFormat="1" x14ac:dyDescent="0.15">
      <c r="C43" s="25">
        <v>37</v>
      </c>
      <c r="D43" s="25">
        <v>0</v>
      </c>
      <c r="E43" s="25" t="s">
        <v>1231</v>
      </c>
      <c r="F43" s="25" t="s">
        <v>35</v>
      </c>
      <c r="G43" s="25"/>
      <c r="H43" s="25"/>
      <c r="I43" s="25" t="s">
        <v>79</v>
      </c>
      <c r="K43" s="25">
        <v>37</v>
      </c>
      <c r="L43" s="25" t="s">
        <v>1231</v>
      </c>
      <c r="M43" s="57" t="s">
        <v>1232</v>
      </c>
      <c r="N43" s="57" t="s">
        <v>35</v>
      </c>
      <c r="O43" s="80">
        <v>0</v>
      </c>
      <c r="P43" s="81"/>
    </row>
    <row r="44" spans="3:16" s="74" customFormat="1" x14ac:dyDescent="0.15">
      <c r="C44" s="25">
        <v>38</v>
      </c>
      <c r="D44" s="25">
        <v>0</v>
      </c>
      <c r="E44" s="25" t="s">
        <v>1233</v>
      </c>
      <c r="F44" s="25" t="s">
        <v>35</v>
      </c>
      <c r="G44" s="25"/>
      <c r="H44" s="25"/>
      <c r="I44" s="25" t="s">
        <v>79</v>
      </c>
      <c r="K44" s="25">
        <v>38</v>
      </c>
      <c r="L44" s="25" t="s">
        <v>1233</v>
      </c>
      <c r="M44" s="57" t="s">
        <v>1234</v>
      </c>
      <c r="N44" s="57" t="s">
        <v>35</v>
      </c>
      <c r="O44" s="80">
        <v>0</v>
      </c>
      <c r="P44" s="81"/>
    </row>
    <row r="45" spans="3:16" s="74" customFormat="1" x14ac:dyDescent="0.15">
      <c r="C45" s="25">
        <v>39</v>
      </c>
      <c r="D45" s="25">
        <v>0</v>
      </c>
      <c r="E45" s="25" t="s">
        <v>1235</v>
      </c>
      <c r="F45" s="25" t="s">
        <v>35</v>
      </c>
      <c r="G45" s="25"/>
      <c r="H45" s="25"/>
      <c r="I45" s="25" t="s">
        <v>79</v>
      </c>
      <c r="K45" s="25">
        <v>39</v>
      </c>
      <c r="L45" s="25" t="s">
        <v>1235</v>
      </c>
      <c r="M45" s="57" t="s">
        <v>1236</v>
      </c>
      <c r="N45" s="57" t="s">
        <v>35</v>
      </c>
      <c r="O45" s="80">
        <v>0</v>
      </c>
      <c r="P45" s="81"/>
    </row>
    <row r="46" spans="3:16" s="74" customFormat="1" x14ac:dyDescent="0.15">
      <c r="C46" s="25">
        <v>40</v>
      </c>
      <c r="D46" s="25">
        <v>0</v>
      </c>
      <c r="E46" s="25" t="s">
        <v>1237</v>
      </c>
      <c r="F46" s="25" t="s">
        <v>35</v>
      </c>
      <c r="G46" s="25"/>
      <c r="H46" s="25"/>
      <c r="I46" s="25" t="s">
        <v>79</v>
      </c>
      <c r="K46" s="25">
        <v>40</v>
      </c>
      <c r="L46" s="25" t="s">
        <v>1237</v>
      </c>
      <c r="M46" s="57" t="s">
        <v>1238</v>
      </c>
      <c r="N46" s="57" t="s">
        <v>35</v>
      </c>
      <c r="O46" s="80">
        <v>0</v>
      </c>
      <c r="P46" s="81"/>
    </row>
    <row r="47" spans="3:16" s="74" customFormat="1" x14ac:dyDescent="0.15">
      <c r="C47" s="25">
        <v>41</v>
      </c>
      <c r="D47" s="25">
        <v>0</v>
      </c>
      <c r="E47" s="25" t="s">
        <v>1239</v>
      </c>
      <c r="F47" s="25" t="s">
        <v>35</v>
      </c>
      <c r="G47" s="25"/>
      <c r="H47" s="25"/>
      <c r="I47" s="25" t="s">
        <v>79</v>
      </c>
      <c r="K47" s="25">
        <v>41</v>
      </c>
      <c r="L47" s="25" t="s">
        <v>1239</v>
      </c>
      <c r="M47" s="57" t="s">
        <v>1240</v>
      </c>
      <c r="N47" s="57" t="s">
        <v>35</v>
      </c>
      <c r="O47" s="80">
        <v>0</v>
      </c>
      <c r="P47" s="81"/>
    </row>
    <row r="48" spans="3:16" s="74" customFormat="1" x14ac:dyDescent="0.15">
      <c r="C48" s="25">
        <v>42</v>
      </c>
      <c r="D48" s="25">
        <v>0</v>
      </c>
      <c r="E48" s="25" t="s">
        <v>1241</v>
      </c>
      <c r="F48" s="25" t="s">
        <v>35</v>
      </c>
      <c r="G48" s="25"/>
      <c r="H48" s="25"/>
      <c r="I48" s="25" t="s">
        <v>79</v>
      </c>
      <c r="K48" s="25">
        <v>42</v>
      </c>
      <c r="L48" s="25" t="s">
        <v>1241</v>
      </c>
      <c r="M48" s="57" t="s">
        <v>1242</v>
      </c>
      <c r="N48" s="57" t="s">
        <v>35</v>
      </c>
      <c r="O48" s="80">
        <v>0</v>
      </c>
      <c r="P48" s="81"/>
    </row>
    <row r="49" spans="3:16" s="74" customFormat="1" x14ac:dyDescent="0.15">
      <c r="C49" s="25">
        <v>43</v>
      </c>
      <c r="D49" s="25">
        <v>0</v>
      </c>
      <c r="E49" s="25" t="s">
        <v>1243</v>
      </c>
      <c r="F49" s="25" t="s">
        <v>35</v>
      </c>
      <c r="G49" s="25"/>
      <c r="H49" s="25"/>
      <c r="I49" s="25" t="s">
        <v>79</v>
      </c>
      <c r="K49" s="25">
        <v>43</v>
      </c>
      <c r="L49" s="25" t="s">
        <v>1243</v>
      </c>
      <c r="M49" s="57" t="s">
        <v>1244</v>
      </c>
      <c r="N49" s="57" t="s">
        <v>35</v>
      </c>
      <c r="O49" s="80">
        <v>0</v>
      </c>
      <c r="P49" s="81"/>
    </row>
    <row r="50" spans="3:16" s="74" customFormat="1" x14ac:dyDescent="0.15">
      <c r="C50" s="25">
        <v>44</v>
      </c>
      <c r="D50" s="25" t="s">
        <v>94</v>
      </c>
      <c r="E50" s="25" t="s">
        <v>95</v>
      </c>
      <c r="F50" s="25" t="s">
        <v>35</v>
      </c>
      <c r="G50" s="25"/>
      <c r="H50" s="25"/>
      <c r="I50" s="25" t="s">
        <v>79</v>
      </c>
      <c r="K50" s="25">
        <v>44</v>
      </c>
      <c r="L50" s="25" t="s">
        <v>95</v>
      </c>
      <c r="M50" s="57" t="s">
        <v>277</v>
      </c>
      <c r="N50" s="57" t="s">
        <v>35</v>
      </c>
      <c r="O50" s="80">
        <v>0</v>
      </c>
      <c r="P50" s="81"/>
    </row>
    <row r="51" spans="3:16" s="74" customFormat="1" x14ac:dyDescent="0.15">
      <c r="C51" s="25">
        <v>45</v>
      </c>
      <c r="D51" s="25" t="s">
        <v>96</v>
      </c>
      <c r="E51" s="25" t="s">
        <v>97</v>
      </c>
      <c r="F51" s="25" t="s">
        <v>35</v>
      </c>
      <c r="G51" s="25"/>
      <c r="H51" s="25"/>
      <c r="I51" s="25" t="s">
        <v>79</v>
      </c>
      <c r="K51" s="25">
        <v>45</v>
      </c>
      <c r="L51" s="25" t="s">
        <v>97</v>
      </c>
      <c r="M51" s="57" t="s">
        <v>278</v>
      </c>
      <c r="N51" s="57" t="s">
        <v>35</v>
      </c>
      <c r="O51" s="80">
        <v>0</v>
      </c>
      <c r="P51" s="81"/>
    </row>
    <row r="52" spans="3:16" s="74" customFormat="1" x14ac:dyDescent="0.15">
      <c r="C52" s="25">
        <v>46</v>
      </c>
      <c r="D52" s="25" t="s">
        <v>98</v>
      </c>
      <c r="E52" s="25" t="s">
        <v>118</v>
      </c>
      <c r="F52" s="25" t="s">
        <v>35</v>
      </c>
      <c r="G52" s="25"/>
      <c r="H52" s="25"/>
      <c r="I52" s="25" t="s">
        <v>79</v>
      </c>
      <c r="K52" s="25">
        <v>46</v>
      </c>
      <c r="L52" s="25" t="s">
        <v>279</v>
      </c>
      <c r="M52" s="57" t="s">
        <v>280</v>
      </c>
      <c r="N52" s="57" t="s">
        <v>35</v>
      </c>
      <c r="O52" s="80">
        <v>0</v>
      </c>
      <c r="P52" s="81"/>
    </row>
    <row r="53" spans="3:16" s="74" customFormat="1" x14ac:dyDescent="0.15">
      <c r="C53" s="25">
        <v>47</v>
      </c>
      <c r="D53" s="25" t="s">
        <v>99</v>
      </c>
      <c r="E53" s="25" t="s">
        <v>117</v>
      </c>
      <c r="F53" s="25" t="s">
        <v>35</v>
      </c>
      <c r="G53" s="25"/>
      <c r="H53" s="25"/>
      <c r="I53" s="25" t="s">
        <v>86</v>
      </c>
      <c r="K53" s="25">
        <v>47</v>
      </c>
      <c r="L53" s="25" t="s">
        <v>281</v>
      </c>
      <c r="M53" s="57" t="s">
        <v>282</v>
      </c>
      <c r="N53" s="57" t="s">
        <v>35</v>
      </c>
      <c r="O53" s="80">
        <v>0</v>
      </c>
      <c r="P53" s="81"/>
    </row>
    <row r="54" spans="3:16" s="74" customFormat="1" ht="27" x14ac:dyDescent="0.15">
      <c r="C54" s="25">
        <v>48</v>
      </c>
      <c r="D54" s="25" t="s">
        <v>100</v>
      </c>
      <c r="E54" s="25" t="s">
        <v>101</v>
      </c>
      <c r="F54" s="25" t="s">
        <v>35</v>
      </c>
      <c r="G54" s="25"/>
      <c r="H54" s="25"/>
      <c r="I54" s="25" t="s">
        <v>102</v>
      </c>
      <c r="K54" s="25">
        <v>48</v>
      </c>
      <c r="L54" s="25" t="s">
        <v>101</v>
      </c>
      <c r="M54" s="57" t="s">
        <v>283</v>
      </c>
      <c r="N54" s="57" t="s">
        <v>35</v>
      </c>
      <c r="O54" s="80">
        <v>0</v>
      </c>
      <c r="P54" s="81"/>
    </row>
    <row r="55" spans="3:16" s="74" customFormat="1" x14ac:dyDescent="0.15">
      <c r="C55" s="25">
        <v>49</v>
      </c>
      <c r="D55" s="25" t="s">
        <v>103</v>
      </c>
      <c r="E55" s="25" t="s">
        <v>116</v>
      </c>
      <c r="F55" s="25" t="s">
        <v>35</v>
      </c>
      <c r="G55" s="25"/>
      <c r="H55" s="25"/>
      <c r="I55" s="25" t="s">
        <v>102</v>
      </c>
      <c r="K55" s="25">
        <v>49</v>
      </c>
      <c r="L55" s="25" t="s">
        <v>284</v>
      </c>
      <c r="M55" s="57" t="s">
        <v>285</v>
      </c>
      <c r="N55" s="57" t="s">
        <v>35</v>
      </c>
      <c r="O55" s="80">
        <v>0</v>
      </c>
      <c r="P55" s="81"/>
    </row>
    <row r="56" spans="3:16" s="74" customFormat="1" x14ac:dyDescent="0.15">
      <c r="C56" s="25">
        <v>50</v>
      </c>
      <c r="D56" s="25" t="s">
        <v>104</v>
      </c>
      <c r="E56" s="25" t="s">
        <v>105</v>
      </c>
      <c r="F56" s="25" t="s">
        <v>35</v>
      </c>
      <c r="G56" s="25"/>
      <c r="H56" s="25"/>
      <c r="I56" s="25" t="s">
        <v>86</v>
      </c>
      <c r="K56" s="25">
        <v>50</v>
      </c>
      <c r="L56" s="25" t="s">
        <v>105</v>
      </c>
      <c r="M56" s="57" t="s">
        <v>286</v>
      </c>
      <c r="N56" s="57" t="s">
        <v>35</v>
      </c>
      <c r="O56" s="80">
        <v>0</v>
      </c>
      <c r="P56" s="25"/>
    </row>
    <row r="57" spans="3:16" s="74" customFormat="1" x14ac:dyDescent="0.15">
      <c r="C57" s="25">
        <v>51</v>
      </c>
      <c r="D57" s="25" t="s">
        <v>954</v>
      </c>
      <c r="E57" s="25" t="s">
        <v>955</v>
      </c>
      <c r="F57" s="25" t="s">
        <v>1578</v>
      </c>
      <c r="G57" s="25"/>
      <c r="H57" s="25"/>
      <c r="I57" s="25" t="s">
        <v>86</v>
      </c>
      <c r="K57" s="25">
        <v>51</v>
      </c>
      <c r="L57" s="25" t="s">
        <v>956</v>
      </c>
      <c r="M57" s="57" t="s">
        <v>957</v>
      </c>
      <c r="N57" s="57" t="s">
        <v>35</v>
      </c>
      <c r="O57" s="80">
        <v>0</v>
      </c>
      <c r="P57" s="25"/>
    </row>
    <row r="58" spans="3:16" s="74" customFormat="1" x14ac:dyDescent="0.15">
      <c r="C58" s="93">
        <v>52</v>
      </c>
      <c r="D58" s="93" t="s">
        <v>1576</v>
      </c>
      <c r="E58" s="93" t="s">
        <v>1577</v>
      </c>
      <c r="F58" s="93" t="s">
        <v>1578</v>
      </c>
      <c r="G58" s="93"/>
      <c r="H58" s="93"/>
      <c r="I58" s="93" t="s">
        <v>86</v>
      </c>
      <c r="J58" s="92"/>
      <c r="K58" s="93">
        <v>52</v>
      </c>
      <c r="L58" s="93" t="s">
        <v>1577</v>
      </c>
      <c r="M58" s="91" t="s">
        <v>1579</v>
      </c>
      <c r="N58" s="91" t="s">
        <v>1578</v>
      </c>
      <c r="O58" s="94">
        <v>0</v>
      </c>
      <c r="P58" s="93"/>
    </row>
    <row r="59" spans="3:16" s="74" customFormat="1" x14ac:dyDescent="0.15"/>
    <row r="60" spans="3:16" s="74" customFormat="1" x14ac:dyDescent="0.15"/>
    <row r="61" spans="3:16" s="74" customFormat="1" x14ac:dyDescent="0.15"/>
    <row r="62" spans="3:16" s="74" customFormat="1" x14ac:dyDescent="0.15"/>
    <row r="63" spans="3:16" s="74" customFormat="1" x14ac:dyDescent="0.15"/>
    <row r="64" spans="3:16"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row r="710" s="74" customFormat="1" x14ac:dyDescent="0.15"/>
  </sheetData>
  <phoneticPr fontId="1"/>
  <hyperlinks>
    <hyperlink ref="C3" location="テーブルマッピング!A1" display="一覧へ戻る" xr:uid="{00000000-0004-0000-0300-000000000000}"/>
    <hyperlink ref="L15" r:id="rId1" location="1219" display="../../../eteam/dbdocs/table/48.html - 1219" xr:uid="{00000000-0004-0000-0300-000001000000}"/>
    <hyperlink ref="L16" r:id="rId2" location="1220" display="../../../eteam/dbdocs/table/48.html - 1220" xr:uid="{00000000-0004-0000-0300-000002000000}"/>
    <hyperlink ref="L17" r:id="rId3" location="1221" display="../../../eteam/dbdocs/table/48.html - 1221" xr:uid="{00000000-0004-0000-0300-000003000000}"/>
    <hyperlink ref="L18" r:id="rId4" location="1222" display="../../../eteam/dbdocs/table/48.html - 1222" xr:uid="{00000000-0004-0000-0300-000004000000}"/>
    <hyperlink ref="L19" r:id="rId5" location="1223" display="../../../eteam/dbdocs/table/48.html - 1223" xr:uid="{00000000-0004-0000-0300-000005000000}"/>
    <hyperlink ref="L20" r:id="rId6" location="1224" display="../../../eteam/dbdocs/table/48.html - 1224" xr:uid="{00000000-0004-0000-0300-000006000000}"/>
    <hyperlink ref="L21" r:id="rId7" location="1225" display="../../../eteam/dbdocs/table/48.html - 1225" xr:uid="{00000000-0004-0000-0300-000007000000}"/>
    <hyperlink ref="L22" r:id="rId8" location="1226" display="../../../eteam/dbdocs/table/48.html - 1226" xr:uid="{00000000-0004-0000-0300-000008000000}"/>
    <hyperlink ref="L23" r:id="rId9" location="1227" display="../../../eteam/dbdocs/table/48.html - 1227" xr:uid="{00000000-0004-0000-0300-000009000000}"/>
    <hyperlink ref="L24" r:id="rId10" location="1228" display="../../../eteam/dbdocs/table/48.html - 1228" xr:uid="{00000000-0004-0000-0300-00000A000000}"/>
    <hyperlink ref="L25" r:id="rId11" location="1229" display="../../../eteam/dbdocs/table/48.html - 1229" xr:uid="{00000000-0004-0000-0300-00000B000000}"/>
    <hyperlink ref="L26" r:id="rId12" location="1230" display="../../../eteam/dbdocs/table/48.html - 1230" xr:uid="{00000000-0004-0000-0300-00000C000000}"/>
    <hyperlink ref="L27" r:id="rId13" location="1231" display="../../../eteam/dbdocs/table/48.html - 1231" xr:uid="{00000000-0004-0000-0300-00000D000000}"/>
    <hyperlink ref="L28" r:id="rId14" location="1232" display="../../../eteam/dbdocs/table/48.html - 1232" xr:uid="{00000000-0004-0000-0300-00000E000000}"/>
    <hyperlink ref="L29" r:id="rId15" location="1233" display="../../../eteam/dbdocs/table/48.html - 1233" xr:uid="{00000000-0004-0000-0300-00000F000000}"/>
    <hyperlink ref="L30" r:id="rId16" location="1234" display="../../../eteam/dbdocs/table/48.html - 1234" xr:uid="{00000000-0004-0000-0300-000010000000}"/>
    <hyperlink ref="L31" r:id="rId17" location="1235" display="../../../eteam/dbdocs/table/48.html - 1235" xr:uid="{00000000-0004-0000-0300-000011000000}"/>
    <hyperlink ref="L32" r:id="rId18" location="1236" display="../../../eteam/dbdocs/table/48.html - 1236" xr:uid="{00000000-0004-0000-0300-000012000000}"/>
    <hyperlink ref="L50" r:id="rId19" location="1237" display="../../../eteam/dbdocs/table/48.html - 1237" xr:uid="{00000000-0004-0000-0300-000013000000}"/>
    <hyperlink ref="L51" r:id="rId20" location="1238" display="../../../eteam/dbdocs/table/48.html - 1238" xr:uid="{00000000-0004-0000-0300-000014000000}"/>
    <hyperlink ref="L52" r:id="rId21" location="1239" display="../../../eteam/dbdocs/table/48.html - 1239" xr:uid="{00000000-0004-0000-0300-000015000000}"/>
    <hyperlink ref="L53" r:id="rId22" location="1240" display="../../../eteam/dbdocs/table/48.html - 1240" xr:uid="{00000000-0004-0000-0300-000016000000}"/>
    <hyperlink ref="L54" r:id="rId23" location="1241" display="../../../eteam/dbdocs/table/48.html - 1241" xr:uid="{00000000-0004-0000-0300-000017000000}"/>
    <hyperlink ref="L55" r:id="rId24" location="1242" display="../../../eteam/dbdocs/table/48.html - 1242" xr:uid="{00000000-0004-0000-0300-000018000000}"/>
    <hyperlink ref="L56" r:id="rId25" location="1243" display="../../../eteam/dbdocs/table/48.html - 1243" xr:uid="{00000000-0004-0000-0300-000019000000}"/>
    <hyperlink ref="L33:L39" r:id="rId26" location="1236" display="../../../eteam/dbdocs/table/48.html - 1236" xr:uid="{35EC6923-5380-4351-9CDF-50924D9FF064}"/>
    <hyperlink ref="L40" r:id="rId27" location="1234" display="../../../eteam/dbdocs/table/48.html - 1234" xr:uid="{82A71B14-6ED8-4692-93C5-C78F4666B18C}"/>
    <hyperlink ref="L41" r:id="rId28" location="1235" display="../../../eteam/dbdocs/table/48.html - 1235" xr:uid="{00A83A9F-6110-4E56-9C0F-204A8424FA26}"/>
    <hyperlink ref="L42" r:id="rId29" location="1236" display="../../../eteam/dbdocs/table/48.html - 1236" xr:uid="{178582D1-40AD-4070-B684-FDAA36F0C23F}"/>
    <hyperlink ref="L43:L49" r:id="rId30" location="1236" display="../../../eteam/dbdocs/table/48.html - 1236" xr:uid="{C45A8A58-3C0C-469F-AAED-159A0FAC4669}"/>
    <hyperlink ref="L57" r:id="rId31" location="1243" display="../../../eteam/dbdocs/table/48.html - 1243" xr:uid="{BA8BB867-5AED-4692-A49E-D20F0F0ACB53}"/>
  </hyperlinks>
  <pageMargins left="0.70866141732283472" right="0.70866141732283472" top="0.74803149606299213" bottom="0.74803149606299213" header="0.31496062992125984" footer="0.31496062992125984"/>
  <pageSetup paperSize="9" scale="80" fitToHeight="0" orientation="landscape" verticalDpi="300" r:id="rId3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FF00"/>
    <pageSetUpPr fitToPage="1"/>
  </sheetPr>
  <dimension ref="B2:P709"/>
  <sheetViews>
    <sheetView view="pageBreakPreview" zoomScaleSheetLayoutView="100" workbookViewId="0">
      <selection activeCell="K31" sqref="K31"/>
    </sheetView>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tr">
        <f>テーブルマッピング!E21</f>
        <v>科目枝番残高</v>
      </c>
      <c r="D2" s="2"/>
      <c r="E2" s="2"/>
    </row>
    <row r="3" spans="2:16" x14ac:dyDescent="0.15">
      <c r="B3" s="8"/>
      <c r="C3" s="8" t="s">
        <v>172</v>
      </c>
      <c r="D3" s="2"/>
      <c r="E3" s="2"/>
    </row>
    <row r="4" spans="2:16" x14ac:dyDescent="0.15">
      <c r="B4" s="8"/>
      <c r="C4" s="8"/>
      <c r="D4" s="2"/>
      <c r="E4" s="2"/>
    </row>
    <row r="5" spans="2:16" x14ac:dyDescent="0.15">
      <c r="B5" s="8"/>
      <c r="C5" s="12" t="s">
        <v>181</v>
      </c>
      <c r="D5" s="6"/>
      <c r="E5" s="2"/>
      <c r="H5" s="19"/>
      <c r="K5" s="5"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225</v>
      </c>
    </row>
    <row r="7" spans="2:16" s="74" customFormat="1" x14ac:dyDescent="0.15">
      <c r="C7" s="25">
        <v>4</v>
      </c>
      <c r="D7" s="25" t="s">
        <v>41</v>
      </c>
      <c r="E7" s="25" t="s">
        <v>42</v>
      </c>
      <c r="F7" s="25" t="s">
        <v>39</v>
      </c>
      <c r="G7" s="25">
        <v>8</v>
      </c>
      <c r="H7" s="25" t="s">
        <v>40</v>
      </c>
      <c r="I7" s="25"/>
      <c r="K7" s="25">
        <v>1</v>
      </c>
      <c r="L7" s="25" t="s">
        <v>233</v>
      </c>
      <c r="M7" s="25" t="s">
        <v>234</v>
      </c>
      <c r="N7" s="25" t="s">
        <v>254</v>
      </c>
      <c r="O7" s="25">
        <v>1</v>
      </c>
      <c r="P7" s="25" t="s">
        <v>225</v>
      </c>
    </row>
    <row r="8" spans="2:16" s="74" customFormat="1" x14ac:dyDescent="0.15">
      <c r="C8" s="25">
        <v>3</v>
      </c>
      <c r="D8" s="25" t="s">
        <v>152</v>
      </c>
      <c r="E8" s="25" t="s">
        <v>153</v>
      </c>
      <c r="F8" s="25" t="s">
        <v>39</v>
      </c>
      <c r="G8" s="25">
        <v>12</v>
      </c>
      <c r="H8" s="25" t="s">
        <v>40</v>
      </c>
      <c r="I8" s="25"/>
      <c r="K8" s="25">
        <v>2</v>
      </c>
      <c r="L8" s="25" t="s">
        <v>189</v>
      </c>
      <c r="M8" s="25" t="s">
        <v>190</v>
      </c>
      <c r="N8" s="25" t="s">
        <v>252</v>
      </c>
      <c r="O8" s="25">
        <v>1</v>
      </c>
      <c r="P8" s="25" t="s">
        <v>225</v>
      </c>
    </row>
    <row r="9" spans="2:16" s="74" customFormat="1" x14ac:dyDescent="0.15">
      <c r="C9" s="25">
        <v>2</v>
      </c>
      <c r="D9" s="25" t="s">
        <v>37</v>
      </c>
      <c r="E9" s="25" t="s">
        <v>38</v>
      </c>
      <c r="F9" s="25" t="s">
        <v>39</v>
      </c>
      <c r="G9" s="25">
        <v>15</v>
      </c>
      <c r="H9" s="25" t="s">
        <v>40</v>
      </c>
      <c r="I9" s="25"/>
      <c r="K9" s="25">
        <v>3</v>
      </c>
      <c r="L9" s="25" t="s">
        <v>38</v>
      </c>
      <c r="M9" s="25" t="s">
        <v>191</v>
      </c>
      <c r="N9" s="25" t="s">
        <v>254</v>
      </c>
      <c r="O9" s="25">
        <v>0</v>
      </c>
      <c r="P9" s="25" t="s">
        <v>225</v>
      </c>
    </row>
    <row r="10" spans="2:16" s="74" customFormat="1" x14ac:dyDescent="0.15">
      <c r="C10" s="25">
        <v>6</v>
      </c>
      <c r="D10" s="25" t="s">
        <v>43</v>
      </c>
      <c r="E10" s="25" t="s">
        <v>44</v>
      </c>
      <c r="F10" s="25" t="s">
        <v>39</v>
      </c>
      <c r="G10" s="25">
        <v>22</v>
      </c>
      <c r="H10" s="25"/>
      <c r="I10" s="25"/>
      <c r="K10" s="25">
        <v>4</v>
      </c>
      <c r="L10" s="25" t="s">
        <v>192</v>
      </c>
      <c r="M10" s="25" t="s">
        <v>193</v>
      </c>
      <c r="N10" s="25" t="s">
        <v>254</v>
      </c>
      <c r="O10" s="25">
        <v>0</v>
      </c>
      <c r="P10" s="25" t="s">
        <v>225</v>
      </c>
    </row>
    <row r="11" spans="2:16" s="74" customFormat="1" x14ac:dyDescent="0.15">
      <c r="C11" s="25">
        <v>7</v>
      </c>
      <c r="D11" s="25" t="s">
        <v>45</v>
      </c>
      <c r="E11" s="25" t="s">
        <v>46</v>
      </c>
      <c r="F11" s="25" t="s">
        <v>39</v>
      </c>
      <c r="G11" s="25">
        <v>40</v>
      </c>
      <c r="H11" s="25"/>
      <c r="I11" s="25"/>
      <c r="K11" s="25">
        <v>5</v>
      </c>
      <c r="L11" s="25" t="s">
        <v>194</v>
      </c>
      <c r="M11" s="25" t="s">
        <v>195</v>
      </c>
      <c r="N11" s="25" t="s">
        <v>254</v>
      </c>
      <c r="O11" s="25">
        <v>0</v>
      </c>
      <c r="P11" s="25" t="s">
        <v>225</v>
      </c>
    </row>
    <row r="12" spans="2:16" s="74" customFormat="1" x14ac:dyDescent="0.15">
      <c r="C12" s="25">
        <v>9</v>
      </c>
      <c r="D12" s="25" t="s">
        <v>154</v>
      </c>
      <c r="E12" s="25" t="s">
        <v>155</v>
      </c>
      <c r="F12" s="25" t="s">
        <v>39</v>
      </c>
      <c r="G12" s="25">
        <v>20</v>
      </c>
      <c r="H12" s="25"/>
      <c r="I12" s="25"/>
      <c r="K12" s="25">
        <v>6</v>
      </c>
      <c r="L12" s="25" t="s">
        <v>196</v>
      </c>
      <c r="M12" s="25" t="s">
        <v>197</v>
      </c>
      <c r="N12" s="25" t="s">
        <v>254</v>
      </c>
      <c r="O12" s="25">
        <v>0</v>
      </c>
      <c r="P12" s="25" t="s">
        <v>225</v>
      </c>
    </row>
    <row r="13" spans="2:16" s="74" customFormat="1" x14ac:dyDescent="0.15">
      <c r="C13" s="25">
        <v>1</v>
      </c>
      <c r="D13" s="25" t="s">
        <v>33</v>
      </c>
      <c r="E13" s="25" t="s">
        <v>34</v>
      </c>
      <c r="F13" s="25" t="s">
        <v>186</v>
      </c>
      <c r="G13" s="25"/>
      <c r="H13" s="25"/>
      <c r="I13" s="25" t="s">
        <v>36</v>
      </c>
      <c r="K13" s="25">
        <v>7</v>
      </c>
      <c r="L13" s="25" t="s">
        <v>34</v>
      </c>
      <c r="M13" s="78" t="s">
        <v>187</v>
      </c>
      <c r="N13" s="78" t="s">
        <v>35</v>
      </c>
      <c r="O13" s="25">
        <v>0</v>
      </c>
      <c r="P13" s="79"/>
    </row>
    <row r="14" spans="2:16" s="74" customFormat="1" x14ac:dyDescent="0.15">
      <c r="C14" s="25">
        <v>5</v>
      </c>
      <c r="D14" s="25" t="s">
        <v>48</v>
      </c>
      <c r="E14" s="25" t="s">
        <v>49</v>
      </c>
      <c r="F14" s="25" t="s">
        <v>35</v>
      </c>
      <c r="G14" s="25"/>
      <c r="H14" s="25"/>
      <c r="I14" s="25"/>
      <c r="K14" s="25">
        <v>8</v>
      </c>
      <c r="L14" s="25" t="s">
        <v>198</v>
      </c>
      <c r="M14" s="25" t="s">
        <v>199</v>
      </c>
      <c r="N14" s="25" t="s">
        <v>35</v>
      </c>
      <c r="O14" s="25">
        <v>0</v>
      </c>
      <c r="P14" s="25"/>
    </row>
    <row r="15" spans="2:16" s="74" customFormat="1" x14ac:dyDescent="0.15">
      <c r="C15" s="25">
        <v>8</v>
      </c>
      <c r="D15" s="25" t="s">
        <v>185</v>
      </c>
      <c r="E15" s="25" t="s">
        <v>51</v>
      </c>
      <c r="F15" s="25" t="s">
        <v>35</v>
      </c>
      <c r="G15" s="25"/>
      <c r="H15" s="25" t="s">
        <v>40</v>
      </c>
      <c r="I15" s="25" t="s">
        <v>52</v>
      </c>
      <c r="K15" s="25">
        <v>9</v>
      </c>
      <c r="L15" s="25" t="s">
        <v>51</v>
      </c>
      <c r="M15" s="25" t="s">
        <v>200</v>
      </c>
      <c r="N15" s="25" t="s">
        <v>35</v>
      </c>
      <c r="O15" s="25">
        <v>0</v>
      </c>
      <c r="P15" s="25" t="s">
        <v>225</v>
      </c>
    </row>
    <row r="16" spans="2:16" s="74" customFormat="1" x14ac:dyDescent="0.15">
      <c r="C16" s="25">
        <v>10</v>
      </c>
      <c r="D16" s="25" t="s">
        <v>749</v>
      </c>
      <c r="E16" s="25" t="s">
        <v>157</v>
      </c>
      <c r="F16" s="25" t="s">
        <v>158</v>
      </c>
      <c r="G16" s="25" t="s">
        <v>159</v>
      </c>
      <c r="H16" s="25"/>
      <c r="I16" s="25"/>
      <c r="K16" s="25">
        <v>10</v>
      </c>
      <c r="L16" s="25" t="s">
        <v>157</v>
      </c>
      <c r="M16" s="25" t="s">
        <v>201</v>
      </c>
      <c r="N16" s="25" t="s">
        <v>253</v>
      </c>
      <c r="O16" s="25">
        <v>0</v>
      </c>
      <c r="P16" s="25" t="s">
        <v>225</v>
      </c>
    </row>
    <row r="17" spans="3:16" s="74" customFormat="1" x14ac:dyDescent="0.15">
      <c r="C17" s="85">
        <v>11</v>
      </c>
      <c r="D17" s="96" t="s">
        <v>62</v>
      </c>
      <c r="E17" s="85" t="s">
        <v>1583</v>
      </c>
      <c r="F17" s="85" t="s">
        <v>186</v>
      </c>
      <c r="G17" s="85">
        <v>2</v>
      </c>
      <c r="H17" s="85"/>
      <c r="K17" s="85">
        <v>11</v>
      </c>
      <c r="L17" s="85" t="s">
        <v>1583</v>
      </c>
      <c r="M17" s="85" t="s">
        <v>259</v>
      </c>
      <c r="N17" s="85" t="s">
        <v>35</v>
      </c>
      <c r="O17" s="85">
        <v>0</v>
      </c>
      <c r="P17" s="85"/>
    </row>
    <row r="18" spans="3:16" s="74" customFormat="1" x14ac:dyDescent="0.15">
      <c r="C18" s="85">
        <v>12</v>
      </c>
      <c r="D18" s="96" t="s">
        <v>64</v>
      </c>
      <c r="E18" s="85" t="s">
        <v>1584</v>
      </c>
      <c r="F18" s="85" t="s">
        <v>35</v>
      </c>
      <c r="G18" s="85">
        <v>2</v>
      </c>
      <c r="H18" s="85"/>
      <c r="K18" s="85">
        <v>12</v>
      </c>
      <c r="L18" s="85" t="s">
        <v>1584</v>
      </c>
      <c r="M18" s="85" t="s">
        <v>260</v>
      </c>
      <c r="N18" s="85" t="s">
        <v>35</v>
      </c>
      <c r="O18" s="85">
        <v>0</v>
      </c>
      <c r="P18" s="85"/>
    </row>
    <row r="19" spans="3:16" s="74" customFormat="1" x14ac:dyDescent="0.15"/>
    <row r="20" spans="3:16" s="74" customFormat="1" x14ac:dyDescent="0.15"/>
    <row r="21" spans="3:16" s="74" customFormat="1" x14ac:dyDescent="0.15"/>
    <row r="22" spans="3:16" s="74" customFormat="1" x14ac:dyDescent="0.15"/>
    <row r="23" spans="3:16" s="74" customFormat="1" x14ac:dyDescent="0.15"/>
    <row r="24" spans="3:16" s="74" customFormat="1" x14ac:dyDescent="0.15"/>
    <row r="25" spans="3:16" s="74" customFormat="1" x14ac:dyDescent="0.15"/>
    <row r="26" spans="3:16" s="74" customFormat="1" x14ac:dyDescent="0.15"/>
    <row r="27" spans="3:16" s="74" customFormat="1" x14ac:dyDescent="0.15"/>
    <row r="28" spans="3:16" s="74" customFormat="1" x14ac:dyDescent="0.15"/>
    <row r="29" spans="3:16" s="74" customFormat="1" x14ac:dyDescent="0.15"/>
    <row r="30" spans="3:16" s="74" customFormat="1" x14ac:dyDescent="0.15"/>
    <row r="31" spans="3:16" s="74" customFormat="1" x14ac:dyDescent="0.15"/>
    <row r="32" spans="3:16"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04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pageSetUpPr fitToPage="1"/>
  </sheetPr>
  <dimension ref="B2:P709"/>
  <sheetViews>
    <sheetView view="pageBreakPreview" zoomScaleSheetLayoutView="100" workbookViewId="0">
      <selection activeCell="L30" sqref="L30"/>
    </sheetView>
  </sheetViews>
  <sheetFormatPr defaultRowHeight="13.5" x14ac:dyDescent="0.15"/>
  <cols>
    <col min="1" max="2" width="2.25" customWidth="1"/>
    <col min="3" max="3" width="3.5" bestFit="1" customWidth="1"/>
    <col min="4" max="4" width="8.125" bestFit="1" customWidth="1"/>
    <col min="5" max="5" width="14" bestFit="1" customWidth="1"/>
    <col min="6" max="6" width="8.25" bestFit="1" customWidth="1"/>
    <col min="7" max="7" width="5.375" bestFit="1" customWidth="1"/>
    <col min="8" max="8" width="6" bestFit="1" customWidth="1"/>
    <col min="9" max="9" width="35.75" hidden="1" customWidth="1"/>
    <col min="10" max="10" width="2.25" customWidth="1"/>
    <col min="11" max="11" width="3.875" bestFit="1" customWidth="1"/>
    <col min="12" max="12" width="15.125" bestFit="1" customWidth="1"/>
    <col min="13" max="13" width="17.125" bestFit="1" customWidth="1"/>
    <col min="14" max="14" width="7.375" bestFit="1" customWidth="1"/>
    <col min="15" max="15" width="9.25" bestFit="1" customWidth="1"/>
    <col min="16" max="16" width="11.75" bestFit="1" customWidth="1"/>
  </cols>
  <sheetData>
    <row r="2" spans="2:16" x14ac:dyDescent="0.15">
      <c r="B2" s="5" t="str">
        <f>テーブルマッピング!E22</f>
        <v>部門マスター一覧</v>
      </c>
      <c r="D2" s="2"/>
      <c r="E2" s="2"/>
    </row>
    <row r="3" spans="2:16" x14ac:dyDescent="0.15">
      <c r="C3" s="8" t="s">
        <v>172</v>
      </c>
      <c r="D3" s="2"/>
      <c r="E3" s="2"/>
    </row>
    <row r="4" spans="2:16" x14ac:dyDescent="0.15">
      <c r="C4" s="8"/>
      <c r="D4" s="2"/>
      <c r="E4" s="2"/>
    </row>
    <row r="5" spans="2:16" x14ac:dyDescent="0.15">
      <c r="C5" s="13"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4" customFormat="1" x14ac:dyDescent="0.15">
      <c r="C7" s="25">
        <v>2</v>
      </c>
      <c r="D7" s="25" t="s">
        <v>125</v>
      </c>
      <c r="E7" s="25" t="s">
        <v>126</v>
      </c>
      <c r="F7" s="25" t="s">
        <v>39</v>
      </c>
      <c r="G7" s="25">
        <v>8</v>
      </c>
      <c r="H7" s="25" t="s">
        <v>40</v>
      </c>
      <c r="I7" s="25"/>
      <c r="K7" s="25">
        <v>1</v>
      </c>
      <c r="L7" s="25" t="s">
        <v>202</v>
      </c>
      <c r="M7" s="25" t="s">
        <v>203</v>
      </c>
      <c r="N7" s="25" t="s">
        <v>254</v>
      </c>
      <c r="O7" s="25">
        <v>1</v>
      </c>
      <c r="P7" s="25" t="s">
        <v>224</v>
      </c>
    </row>
    <row r="8" spans="2:16" s="74" customFormat="1" x14ac:dyDescent="0.15">
      <c r="C8" s="25">
        <v>3</v>
      </c>
      <c r="D8" s="25" t="s">
        <v>127</v>
      </c>
      <c r="E8" s="25" t="s">
        <v>128</v>
      </c>
      <c r="F8" s="25" t="s">
        <v>39</v>
      </c>
      <c r="G8" s="25">
        <v>20</v>
      </c>
      <c r="H8" s="25"/>
      <c r="I8" s="25"/>
      <c r="K8" s="25">
        <v>2</v>
      </c>
      <c r="L8" s="25" t="s">
        <v>204</v>
      </c>
      <c r="M8" s="25" t="s">
        <v>205</v>
      </c>
      <c r="N8" s="25" t="s">
        <v>254</v>
      </c>
      <c r="O8" s="25">
        <v>0</v>
      </c>
      <c r="P8" s="25" t="s">
        <v>224</v>
      </c>
    </row>
    <row r="9" spans="2:16" s="74" customFormat="1" x14ac:dyDescent="0.15">
      <c r="C9" s="25">
        <v>1</v>
      </c>
      <c r="D9" s="25" t="s">
        <v>33</v>
      </c>
      <c r="E9" s="25" t="s">
        <v>34</v>
      </c>
      <c r="F9" s="25" t="s">
        <v>35</v>
      </c>
      <c r="G9" s="25"/>
      <c r="H9" s="25"/>
      <c r="I9" s="25" t="s">
        <v>36</v>
      </c>
      <c r="K9" s="25">
        <v>3</v>
      </c>
      <c r="L9" s="25" t="s">
        <v>287</v>
      </c>
      <c r="M9" s="25" t="s">
        <v>288</v>
      </c>
      <c r="N9" s="25" t="s">
        <v>289</v>
      </c>
      <c r="O9" s="25">
        <v>0</v>
      </c>
      <c r="P9" s="25"/>
    </row>
    <row r="10" spans="2:16" s="74" customFormat="1" x14ac:dyDescent="0.15">
      <c r="C10" s="25">
        <v>4</v>
      </c>
      <c r="D10" s="25" t="s">
        <v>129</v>
      </c>
      <c r="E10" s="25" t="s">
        <v>130</v>
      </c>
      <c r="F10" s="25" t="s">
        <v>35</v>
      </c>
      <c r="G10" s="25"/>
      <c r="H10" s="25" t="s">
        <v>40</v>
      </c>
      <c r="I10" s="25" t="s">
        <v>131</v>
      </c>
      <c r="K10" s="25">
        <v>4</v>
      </c>
      <c r="L10" s="25" t="s">
        <v>130</v>
      </c>
      <c r="M10" s="25" t="s">
        <v>219</v>
      </c>
      <c r="N10" s="25" t="s">
        <v>35</v>
      </c>
      <c r="O10" s="25">
        <v>0</v>
      </c>
      <c r="P10" s="25" t="s">
        <v>225</v>
      </c>
    </row>
    <row r="11" spans="2:16" s="74" customFormat="1" x14ac:dyDescent="0.15">
      <c r="C11" s="85">
        <v>5</v>
      </c>
      <c r="D11" s="97" t="s">
        <v>66</v>
      </c>
      <c r="E11" s="85" t="s">
        <v>1585</v>
      </c>
      <c r="F11" s="85" t="s">
        <v>35</v>
      </c>
      <c r="G11" s="85"/>
      <c r="H11" s="85"/>
      <c r="K11" s="85">
        <v>5</v>
      </c>
      <c r="L11" s="85" t="s">
        <v>1585</v>
      </c>
      <c r="M11" s="85" t="s">
        <v>1586</v>
      </c>
      <c r="N11" s="85" t="s">
        <v>35</v>
      </c>
      <c r="O11" s="85">
        <v>0</v>
      </c>
      <c r="P11" s="85"/>
    </row>
    <row r="12" spans="2:16" s="74" customFormat="1" x14ac:dyDescent="0.15">
      <c r="C12" s="85">
        <v>6</v>
      </c>
      <c r="D12" s="96" t="s">
        <v>1602</v>
      </c>
      <c r="E12" s="85" t="s">
        <v>1587</v>
      </c>
      <c r="F12" s="85" t="s">
        <v>862</v>
      </c>
      <c r="G12" s="85"/>
      <c r="H12" s="85" t="s">
        <v>40</v>
      </c>
      <c r="K12" s="85">
        <v>6</v>
      </c>
      <c r="L12" s="85" t="s">
        <v>1587</v>
      </c>
      <c r="M12" s="85" t="s">
        <v>1588</v>
      </c>
      <c r="N12" s="85" t="s">
        <v>1589</v>
      </c>
      <c r="O12" s="85">
        <v>0</v>
      </c>
      <c r="P12" s="85"/>
    </row>
    <row r="13" spans="2:16" s="74" customFormat="1" x14ac:dyDescent="0.15">
      <c r="C13" s="85">
        <v>7</v>
      </c>
      <c r="D13" s="96" t="s">
        <v>1603</v>
      </c>
      <c r="E13" s="85" t="s">
        <v>1590</v>
      </c>
      <c r="F13" s="85" t="s">
        <v>862</v>
      </c>
      <c r="G13" s="85"/>
      <c r="H13" s="85" t="s">
        <v>40</v>
      </c>
      <c r="K13" s="85">
        <v>7</v>
      </c>
      <c r="L13" s="85" t="s">
        <v>1590</v>
      </c>
      <c r="M13" s="85" t="s">
        <v>1591</v>
      </c>
      <c r="N13" s="85" t="s">
        <v>1589</v>
      </c>
      <c r="O13" s="85">
        <v>0</v>
      </c>
      <c r="P13" s="85"/>
    </row>
    <row r="14" spans="2:16" s="74" customFormat="1" x14ac:dyDescent="0.15"/>
    <row r="15" spans="2:16" s="74" customFormat="1" x14ac:dyDescent="0.15"/>
    <row r="16" spans="2:16" s="74" customFormat="1" x14ac:dyDescent="0.15"/>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05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B2:P709"/>
  <sheetViews>
    <sheetView view="pageBreakPreview" topLeftCell="A28"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テーブルマッピング!E23</f>
        <v>部門科目残高</v>
      </c>
      <c r="D2" s="2"/>
      <c r="E2" s="2"/>
    </row>
    <row r="3" spans="2:16" x14ac:dyDescent="0.15">
      <c r="C3" s="8" t="s">
        <v>172</v>
      </c>
      <c r="D3" s="2"/>
      <c r="E3" s="2"/>
    </row>
    <row r="4" spans="2:16" x14ac:dyDescent="0.15">
      <c r="C4" s="8"/>
      <c r="D4" s="2"/>
      <c r="E4" s="2"/>
    </row>
    <row r="5" spans="2:16" x14ac:dyDescent="0.15">
      <c r="C5" s="13" t="s">
        <v>182</v>
      </c>
      <c r="D5" s="6"/>
      <c r="E5" s="2"/>
      <c r="H5" s="19"/>
      <c r="K5" s="14" t="s">
        <v>184</v>
      </c>
      <c r="P5" s="19"/>
    </row>
    <row r="6" spans="2:16" x14ac:dyDescent="0.15">
      <c r="C6" s="15" t="s">
        <v>120</v>
      </c>
      <c r="D6" s="15" t="s">
        <v>121</v>
      </c>
      <c r="E6" s="15" t="s">
        <v>122</v>
      </c>
      <c r="F6" s="15" t="s">
        <v>123</v>
      </c>
      <c r="G6" s="15" t="s">
        <v>114</v>
      </c>
      <c r="H6" s="15" t="s">
        <v>124</v>
      </c>
      <c r="I6" s="3" t="s">
        <v>115</v>
      </c>
      <c r="K6" s="15" t="s">
        <v>120</v>
      </c>
      <c r="L6" s="11" t="s">
        <v>176</v>
      </c>
      <c r="M6" s="9" t="s">
        <v>177</v>
      </c>
      <c r="N6" s="10" t="s">
        <v>178</v>
      </c>
      <c r="O6" s="10" t="s">
        <v>179</v>
      </c>
      <c r="P6" s="10" t="s">
        <v>180</v>
      </c>
    </row>
    <row r="7" spans="2:16" s="74" customFormat="1" x14ac:dyDescent="0.15">
      <c r="C7" s="25">
        <v>2</v>
      </c>
      <c r="D7" s="25" t="s">
        <v>125</v>
      </c>
      <c r="E7" s="25" t="s">
        <v>126</v>
      </c>
      <c r="F7" s="25" t="s">
        <v>39</v>
      </c>
      <c r="G7" s="25">
        <v>8</v>
      </c>
      <c r="H7" s="25" t="s">
        <v>40</v>
      </c>
      <c r="I7" s="25"/>
      <c r="K7" s="25">
        <v>1</v>
      </c>
      <c r="L7" s="25" t="s">
        <v>232</v>
      </c>
      <c r="M7" s="25" t="s">
        <v>229</v>
      </c>
      <c r="N7" s="25" t="s">
        <v>254</v>
      </c>
      <c r="O7" s="25">
        <v>1</v>
      </c>
      <c r="P7" s="25" t="s">
        <v>225</v>
      </c>
    </row>
    <row r="8" spans="2:16" s="74" customFormat="1" x14ac:dyDescent="0.15">
      <c r="C8" s="25">
        <v>5</v>
      </c>
      <c r="D8" s="25" t="s">
        <v>41</v>
      </c>
      <c r="E8" s="25" t="s">
        <v>42</v>
      </c>
      <c r="F8" s="25" t="s">
        <v>39</v>
      </c>
      <c r="G8" s="25">
        <v>8</v>
      </c>
      <c r="H8" s="25" t="s">
        <v>40</v>
      </c>
      <c r="I8" s="25"/>
      <c r="K8" s="25">
        <v>2</v>
      </c>
      <c r="L8" s="25" t="s">
        <v>42</v>
      </c>
      <c r="M8" s="25" t="s">
        <v>188</v>
      </c>
      <c r="N8" s="25" t="s">
        <v>254</v>
      </c>
      <c r="O8" s="25">
        <v>1</v>
      </c>
      <c r="P8" s="25" t="s">
        <v>225</v>
      </c>
    </row>
    <row r="9" spans="2:16" s="74" customFormat="1" x14ac:dyDescent="0.15">
      <c r="C9" s="25">
        <v>1</v>
      </c>
      <c r="D9" s="25" t="s">
        <v>33</v>
      </c>
      <c r="E9" s="25" t="s">
        <v>756</v>
      </c>
      <c r="F9" s="25" t="s">
        <v>35</v>
      </c>
      <c r="G9" s="25"/>
      <c r="H9" s="25"/>
      <c r="I9" s="25" t="s">
        <v>36</v>
      </c>
      <c r="K9" s="25">
        <v>3</v>
      </c>
      <c r="L9" s="25" t="s">
        <v>34</v>
      </c>
      <c r="M9" s="25" t="s">
        <v>187</v>
      </c>
      <c r="N9" s="25" t="s">
        <v>35</v>
      </c>
      <c r="O9" s="25">
        <v>0</v>
      </c>
      <c r="P9" s="25"/>
    </row>
    <row r="10" spans="2:16" s="74" customFormat="1" x14ac:dyDescent="0.15">
      <c r="C10" s="25">
        <v>3</v>
      </c>
      <c r="D10" s="25" t="s">
        <v>37</v>
      </c>
      <c r="E10" s="25" t="s">
        <v>38</v>
      </c>
      <c r="F10" s="25" t="s">
        <v>39</v>
      </c>
      <c r="G10" s="25">
        <v>15</v>
      </c>
      <c r="H10" s="25" t="s">
        <v>40</v>
      </c>
      <c r="I10" s="25"/>
      <c r="K10" s="25">
        <v>4</v>
      </c>
      <c r="L10" s="25" t="s">
        <v>38</v>
      </c>
      <c r="M10" s="25" t="s">
        <v>191</v>
      </c>
      <c r="N10" s="25" t="s">
        <v>254</v>
      </c>
      <c r="O10" s="25">
        <v>0</v>
      </c>
      <c r="P10" s="25" t="s">
        <v>225</v>
      </c>
    </row>
    <row r="11" spans="2:16" s="74" customFormat="1" x14ac:dyDescent="0.15">
      <c r="C11" s="25">
        <v>4</v>
      </c>
      <c r="D11" s="25" t="s">
        <v>127</v>
      </c>
      <c r="E11" s="25" t="s">
        <v>128</v>
      </c>
      <c r="F11" s="25" t="s">
        <v>39</v>
      </c>
      <c r="G11" s="25">
        <v>20</v>
      </c>
      <c r="H11" s="25"/>
      <c r="I11" s="25"/>
      <c r="K11" s="25">
        <v>5</v>
      </c>
      <c r="L11" s="25" t="s">
        <v>204</v>
      </c>
      <c r="M11" s="25" t="s">
        <v>205</v>
      </c>
      <c r="N11" s="25" t="s">
        <v>254</v>
      </c>
      <c r="O11" s="25">
        <v>0</v>
      </c>
      <c r="P11" s="25" t="s">
        <v>225</v>
      </c>
    </row>
    <row r="12" spans="2:16" s="74" customFormat="1" x14ac:dyDescent="0.15">
      <c r="C12" s="25">
        <v>6</v>
      </c>
      <c r="D12" s="25" t="s">
        <v>48</v>
      </c>
      <c r="E12" s="25" t="s">
        <v>49</v>
      </c>
      <c r="F12" s="25" t="s">
        <v>35</v>
      </c>
      <c r="G12" s="25"/>
      <c r="H12" s="25"/>
      <c r="I12" s="25"/>
      <c r="K12" s="25">
        <v>6</v>
      </c>
      <c r="L12" s="25" t="s">
        <v>198</v>
      </c>
      <c r="M12" s="25" t="s">
        <v>199</v>
      </c>
      <c r="N12" s="25" t="s">
        <v>35</v>
      </c>
      <c r="O12" s="25">
        <v>0</v>
      </c>
      <c r="P12" s="25"/>
    </row>
    <row r="13" spans="2:16" s="74" customFormat="1" x14ac:dyDescent="0.15">
      <c r="C13" s="25">
        <v>7</v>
      </c>
      <c r="D13" s="25" t="s">
        <v>43</v>
      </c>
      <c r="E13" s="25" t="s">
        <v>44</v>
      </c>
      <c r="F13" s="25" t="s">
        <v>39</v>
      </c>
      <c r="G13" s="25">
        <v>22</v>
      </c>
      <c r="H13" s="25"/>
      <c r="I13" s="25"/>
      <c r="K13" s="25">
        <v>7</v>
      </c>
      <c r="L13" s="25" t="s">
        <v>192</v>
      </c>
      <c r="M13" s="25" t="s">
        <v>193</v>
      </c>
      <c r="N13" s="25" t="s">
        <v>254</v>
      </c>
      <c r="O13" s="25">
        <v>0</v>
      </c>
      <c r="P13" s="25" t="s">
        <v>225</v>
      </c>
    </row>
    <row r="14" spans="2:16" s="74" customFormat="1" x14ac:dyDescent="0.15">
      <c r="C14" s="25">
        <v>8</v>
      </c>
      <c r="D14" s="25" t="s">
        <v>45</v>
      </c>
      <c r="E14" s="25" t="s">
        <v>46</v>
      </c>
      <c r="F14" s="25" t="s">
        <v>39</v>
      </c>
      <c r="G14" s="25">
        <v>40</v>
      </c>
      <c r="H14" s="25"/>
      <c r="I14" s="25"/>
      <c r="K14" s="25">
        <v>8</v>
      </c>
      <c r="L14" s="25" t="s">
        <v>194</v>
      </c>
      <c r="M14" s="25" t="s">
        <v>195</v>
      </c>
      <c r="N14" s="25" t="s">
        <v>254</v>
      </c>
      <c r="O14" s="25">
        <v>0</v>
      </c>
      <c r="P14" s="25" t="s">
        <v>225</v>
      </c>
    </row>
    <row r="15" spans="2:16" s="74" customFormat="1" x14ac:dyDescent="0.15">
      <c r="C15" s="25">
        <v>9</v>
      </c>
      <c r="D15" s="25" t="s">
        <v>50</v>
      </c>
      <c r="E15" s="25" t="s">
        <v>51</v>
      </c>
      <c r="F15" s="25" t="s">
        <v>236</v>
      </c>
      <c r="G15" s="25"/>
      <c r="H15" s="25" t="s">
        <v>40</v>
      </c>
      <c r="I15" s="25" t="s">
        <v>52</v>
      </c>
      <c r="K15" s="25">
        <v>9</v>
      </c>
      <c r="L15" s="25" t="s">
        <v>51</v>
      </c>
      <c r="M15" s="25" t="s">
        <v>200</v>
      </c>
      <c r="N15" s="25" t="s">
        <v>35</v>
      </c>
      <c r="O15" s="25">
        <v>0</v>
      </c>
      <c r="P15" s="25"/>
    </row>
    <row r="16" spans="2:16" s="74" customFormat="1" x14ac:dyDescent="0.15">
      <c r="C16" s="25">
        <v>10</v>
      </c>
      <c r="D16" s="25" t="s">
        <v>1058</v>
      </c>
      <c r="E16" s="25" t="s">
        <v>1059</v>
      </c>
      <c r="F16" s="25" t="s">
        <v>235</v>
      </c>
      <c r="G16" s="25" t="s">
        <v>1005</v>
      </c>
      <c r="H16" s="25" t="s">
        <v>40</v>
      </c>
      <c r="I16" s="25"/>
      <c r="K16" s="25">
        <v>10</v>
      </c>
      <c r="L16" s="25" t="s">
        <v>1059</v>
      </c>
      <c r="M16" s="25" t="s">
        <v>1060</v>
      </c>
      <c r="N16" s="25" t="s">
        <v>1007</v>
      </c>
      <c r="O16" s="25">
        <v>0</v>
      </c>
      <c r="P16" s="25" t="s">
        <v>180</v>
      </c>
    </row>
    <row r="17" spans="3:16" s="74" customFormat="1" x14ac:dyDescent="0.15">
      <c r="C17" s="25">
        <v>11</v>
      </c>
      <c r="D17" s="25" t="s">
        <v>1061</v>
      </c>
      <c r="E17" s="25" t="s">
        <v>1062</v>
      </c>
      <c r="F17" s="25" t="s">
        <v>235</v>
      </c>
      <c r="G17" s="25" t="s">
        <v>1005</v>
      </c>
      <c r="H17" s="25" t="s">
        <v>40</v>
      </c>
      <c r="I17" s="25"/>
      <c r="K17" s="25">
        <v>11</v>
      </c>
      <c r="L17" s="25" t="s">
        <v>1062</v>
      </c>
      <c r="M17" s="25" t="s">
        <v>1063</v>
      </c>
      <c r="N17" s="25" t="s">
        <v>1007</v>
      </c>
      <c r="O17" s="25">
        <v>0</v>
      </c>
      <c r="P17" s="25" t="s">
        <v>180</v>
      </c>
    </row>
    <row r="18" spans="3:16" s="74" customFormat="1" x14ac:dyDescent="0.15">
      <c r="C18" s="25">
        <v>12</v>
      </c>
      <c r="D18" s="25" t="s">
        <v>1064</v>
      </c>
      <c r="E18" s="25" t="s">
        <v>1065</v>
      </c>
      <c r="F18" s="25" t="s">
        <v>235</v>
      </c>
      <c r="G18" s="25" t="s">
        <v>1005</v>
      </c>
      <c r="H18" s="25" t="s">
        <v>764</v>
      </c>
      <c r="I18" s="25"/>
      <c r="K18" s="25">
        <v>12</v>
      </c>
      <c r="L18" s="25" t="s">
        <v>1065</v>
      </c>
      <c r="M18" s="25" t="s">
        <v>1066</v>
      </c>
      <c r="N18" s="25" t="s">
        <v>1007</v>
      </c>
      <c r="O18" s="25">
        <v>0</v>
      </c>
      <c r="P18" s="25" t="s">
        <v>180</v>
      </c>
    </row>
    <row r="19" spans="3:16" s="74" customFormat="1" x14ac:dyDescent="0.15">
      <c r="C19" s="25">
        <v>13</v>
      </c>
      <c r="D19" s="25" t="s">
        <v>1067</v>
      </c>
      <c r="E19" s="25" t="s">
        <v>1068</v>
      </c>
      <c r="F19" s="25" t="s">
        <v>235</v>
      </c>
      <c r="G19" s="25" t="s">
        <v>1005</v>
      </c>
      <c r="H19" s="25" t="s">
        <v>40</v>
      </c>
      <c r="I19" s="25"/>
      <c r="K19" s="25">
        <v>13</v>
      </c>
      <c r="L19" s="25" t="s">
        <v>1068</v>
      </c>
      <c r="M19" s="25" t="s">
        <v>1069</v>
      </c>
      <c r="N19" s="25" t="s">
        <v>1007</v>
      </c>
      <c r="O19" s="25">
        <v>0</v>
      </c>
      <c r="P19" s="25" t="s">
        <v>180</v>
      </c>
    </row>
    <row r="20" spans="3:16" s="74" customFormat="1" x14ac:dyDescent="0.15">
      <c r="C20" s="25">
        <v>14</v>
      </c>
      <c r="D20" s="25" t="s">
        <v>1070</v>
      </c>
      <c r="E20" s="25" t="s">
        <v>1071</v>
      </c>
      <c r="F20" s="25" t="s">
        <v>235</v>
      </c>
      <c r="G20" s="25" t="s">
        <v>1005</v>
      </c>
      <c r="H20" s="25" t="s">
        <v>764</v>
      </c>
      <c r="I20" s="25"/>
      <c r="K20" s="25">
        <v>14</v>
      </c>
      <c r="L20" s="25" t="s">
        <v>1071</v>
      </c>
      <c r="M20" s="25" t="s">
        <v>1072</v>
      </c>
      <c r="N20" s="25" t="s">
        <v>1007</v>
      </c>
      <c r="O20" s="25">
        <v>0</v>
      </c>
      <c r="P20" s="25" t="s">
        <v>180</v>
      </c>
    </row>
    <row r="21" spans="3:16" s="74" customFormat="1" x14ac:dyDescent="0.15">
      <c r="C21" s="25">
        <v>15</v>
      </c>
      <c r="D21" s="25" t="s">
        <v>1073</v>
      </c>
      <c r="E21" s="25" t="s">
        <v>1074</v>
      </c>
      <c r="F21" s="25" t="s">
        <v>235</v>
      </c>
      <c r="G21" s="25" t="s">
        <v>1005</v>
      </c>
      <c r="H21" s="25" t="s">
        <v>40</v>
      </c>
      <c r="I21" s="25"/>
      <c r="K21" s="25">
        <v>15</v>
      </c>
      <c r="L21" s="25" t="s">
        <v>1074</v>
      </c>
      <c r="M21" s="25" t="s">
        <v>1075</v>
      </c>
      <c r="N21" s="25" t="s">
        <v>1007</v>
      </c>
      <c r="O21" s="25">
        <v>0</v>
      </c>
      <c r="P21" s="25" t="s">
        <v>180</v>
      </c>
    </row>
    <row r="22" spans="3:16" s="74" customFormat="1" x14ac:dyDescent="0.15">
      <c r="C22" s="25">
        <v>16</v>
      </c>
      <c r="D22" s="25" t="s">
        <v>1076</v>
      </c>
      <c r="E22" s="25" t="s">
        <v>1077</v>
      </c>
      <c r="F22" s="25" t="s">
        <v>235</v>
      </c>
      <c r="G22" s="25" t="s">
        <v>159</v>
      </c>
      <c r="H22" s="25" t="s">
        <v>40</v>
      </c>
      <c r="I22" s="25"/>
      <c r="K22" s="25">
        <v>16</v>
      </c>
      <c r="L22" s="25" t="s">
        <v>1077</v>
      </c>
      <c r="M22" s="25" t="s">
        <v>1078</v>
      </c>
      <c r="N22" s="25" t="s">
        <v>1007</v>
      </c>
      <c r="O22" s="25">
        <v>0</v>
      </c>
      <c r="P22" s="25" t="s">
        <v>180</v>
      </c>
    </row>
    <row r="23" spans="3:16" s="74" customFormat="1" x14ac:dyDescent="0.15">
      <c r="C23" s="25">
        <v>17</v>
      </c>
      <c r="D23" s="25" t="s">
        <v>1079</v>
      </c>
      <c r="E23" s="25" t="s">
        <v>1080</v>
      </c>
      <c r="F23" s="25" t="s">
        <v>235</v>
      </c>
      <c r="G23" s="25" t="s">
        <v>159</v>
      </c>
      <c r="H23" s="25" t="s">
        <v>40</v>
      </c>
      <c r="I23" s="25"/>
      <c r="K23" s="25">
        <v>17</v>
      </c>
      <c r="L23" s="25" t="s">
        <v>1080</v>
      </c>
      <c r="M23" s="25" t="s">
        <v>1081</v>
      </c>
      <c r="N23" s="25" t="s">
        <v>1007</v>
      </c>
      <c r="O23" s="25">
        <v>0</v>
      </c>
      <c r="P23" s="25" t="s">
        <v>180</v>
      </c>
    </row>
    <row r="24" spans="3:16" s="74" customFormat="1" x14ac:dyDescent="0.15">
      <c r="C24" s="25">
        <v>18</v>
      </c>
      <c r="D24" s="25" t="s">
        <v>1082</v>
      </c>
      <c r="E24" s="25" t="s">
        <v>1083</v>
      </c>
      <c r="F24" s="25" t="s">
        <v>235</v>
      </c>
      <c r="G24" s="25" t="s">
        <v>159</v>
      </c>
      <c r="H24" s="25" t="s">
        <v>40</v>
      </c>
      <c r="I24" s="25"/>
      <c r="K24" s="25">
        <v>18</v>
      </c>
      <c r="L24" s="25" t="s">
        <v>1083</v>
      </c>
      <c r="M24" s="25" t="s">
        <v>1084</v>
      </c>
      <c r="N24" s="25" t="s">
        <v>1007</v>
      </c>
      <c r="O24" s="25">
        <v>0</v>
      </c>
      <c r="P24" s="25" t="s">
        <v>180</v>
      </c>
    </row>
    <row r="25" spans="3:16" s="74" customFormat="1" x14ac:dyDescent="0.15">
      <c r="C25" s="25">
        <v>19</v>
      </c>
      <c r="D25" s="25" t="s">
        <v>1085</v>
      </c>
      <c r="E25" s="25" t="s">
        <v>1086</v>
      </c>
      <c r="F25" s="25" t="s">
        <v>235</v>
      </c>
      <c r="G25" s="25" t="s">
        <v>159</v>
      </c>
      <c r="H25" s="25" t="s">
        <v>40</v>
      </c>
      <c r="I25" s="25"/>
      <c r="K25" s="25">
        <v>19</v>
      </c>
      <c r="L25" s="25" t="s">
        <v>1086</v>
      </c>
      <c r="M25" s="25" t="s">
        <v>1087</v>
      </c>
      <c r="N25" s="25" t="s">
        <v>1007</v>
      </c>
      <c r="O25" s="25">
        <v>0</v>
      </c>
      <c r="P25" s="25" t="s">
        <v>180</v>
      </c>
    </row>
    <row r="26" spans="3:16" s="74" customFormat="1" x14ac:dyDescent="0.15">
      <c r="C26" s="25">
        <v>20</v>
      </c>
      <c r="D26" s="25" t="s">
        <v>1088</v>
      </c>
      <c r="E26" s="25" t="s">
        <v>1089</v>
      </c>
      <c r="F26" s="25" t="s">
        <v>235</v>
      </c>
      <c r="G26" s="25" t="s">
        <v>159</v>
      </c>
      <c r="H26" s="25" t="s">
        <v>40</v>
      </c>
      <c r="I26" s="25"/>
      <c r="K26" s="25">
        <v>20</v>
      </c>
      <c r="L26" s="25" t="s">
        <v>1089</v>
      </c>
      <c r="M26" s="25" t="s">
        <v>1090</v>
      </c>
      <c r="N26" s="25" t="s">
        <v>1007</v>
      </c>
      <c r="O26" s="25">
        <v>0</v>
      </c>
      <c r="P26" s="25" t="s">
        <v>180</v>
      </c>
    </row>
    <row r="27" spans="3:16" s="74" customFormat="1" x14ac:dyDescent="0.15">
      <c r="C27" s="25">
        <v>21</v>
      </c>
      <c r="D27" s="25" t="s">
        <v>1091</v>
      </c>
      <c r="E27" s="25" t="s">
        <v>1092</v>
      </c>
      <c r="F27" s="25" t="s">
        <v>235</v>
      </c>
      <c r="G27" s="25" t="s">
        <v>159</v>
      </c>
      <c r="H27" s="25" t="s">
        <v>40</v>
      </c>
      <c r="I27" s="25"/>
      <c r="K27" s="25">
        <v>21</v>
      </c>
      <c r="L27" s="25" t="s">
        <v>1092</v>
      </c>
      <c r="M27" s="25" t="s">
        <v>1093</v>
      </c>
      <c r="N27" s="25" t="s">
        <v>1007</v>
      </c>
      <c r="O27" s="25">
        <v>0</v>
      </c>
      <c r="P27" s="25" t="s">
        <v>180</v>
      </c>
    </row>
    <row r="28" spans="3:16" s="74" customFormat="1" x14ac:dyDescent="0.15">
      <c r="C28" s="25">
        <v>22</v>
      </c>
      <c r="D28" s="25" t="s">
        <v>1094</v>
      </c>
      <c r="E28" s="25" t="s">
        <v>1095</v>
      </c>
      <c r="F28" s="25" t="s">
        <v>235</v>
      </c>
      <c r="G28" s="25" t="s">
        <v>159</v>
      </c>
      <c r="H28" s="25" t="s">
        <v>40</v>
      </c>
      <c r="I28" s="25"/>
      <c r="K28" s="25">
        <v>22</v>
      </c>
      <c r="L28" s="25" t="s">
        <v>1095</v>
      </c>
      <c r="M28" s="25" t="s">
        <v>1096</v>
      </c>
      <c r="N28" s="25" t="s">
        <v>1007</v>
      </c>
      <c r="O28" s="25">
        <v>0</v>
      </c>
      <c r="P28" s="25" t="s">
        <v>180</v>
      </c>
    </row>
    <row r="29" spans="3:16" s="74" customFormat="1" x14ac:dyDescent="0.15">
      <c r="C29" s="25">
        <v>23</v>
      </c>
      <c r="D29" s="25" t="s">
        <v>1097</v>
      </c>
      <c r="E29" s="25" t="s">
        <v>1098</v>
      </c>
      <c r="F29" s="25" t="s">
        <v>235</v>
      </c>
      <c r="G29" s="25" t="s">
        <v>159</v>
      </c>
      <c r="H29" s="25" t="s">
        <v>40</v>
      </c>
      <c r="I29" s="25"/>
      <c r="K29" s="25">
        <v>23</v>
      </c>
      <c r="L29" s="25" t="s">
        <v>1098</v>
      </c>
      <c r="M29" s="25" t="s">
        <v>1099</v>
      </c>
      <c r="N29" s="25" t="s">
        <v>1007</v>
      </c>
      <c r="O29" s="25">
        <v>0</v>
      </c>
      <c r="P29" s="25" t="s">
        <v>180</v>
      </c>
    </row>
    <row r="30" spans="3:16" s="74" customFormat="1" x14ac:dyDescent="0.15">
      <c r="C30" s="25">
        <v>24</v>
      </c>
      <c r="D30" s="25" t="s">
        <v>1100</v>
      </c>
      <c r="E30" s="25" t="s">
        <v>1101</v>
      </c>
      <c r="F30" s="25" t="s">
        <v>235</v>
      </c>
      <c r="G30" s="25" t="s">
        <v>159</v>
      </c>
      <c r="H30" s="25" t="s">
        <v>40</v>
      </c>
      <c r="I30" s="25"/>
      <c r="K30" s="25">
        <v>24</v>
      </c>
      <c r="L30" s="25" t="s">
        <v>1101</v>
      </c>
      <c r="M30" s="25" t="s">
        <v>1102</v>
      </c>
      <c r="N30" s="25" t="s">
        <v>1007</v>
      </c>
      <c r="O30" s="25">
        <v>0</v>
      </c>
      <c r="P30" s="25" t="s">
        <v>180</v>
      </c>
    </row>
    <row r="31" spans="3:16" s="74" customFormat="1" x14ac:dyDescent="0.15">
      <c r="C31" s="25">
        <v>25</v>
      </c>
      <c r="D31" s="25" t="s">
        <v>1103</v>
      </c>
      <c r="E31" s="25" t="s">
        <v>1104</v>
      </c>
      <c r="F31" s="25" t="s">
        <v>235</v>
      </c>
      <c r="G31" s="25" t="s">
        <v>159</v>
      </c>
      <c r="H31" s="25" t="s">
        <v>40</v>
      </c>
      <c r="I31" s="25"/>
      <c r="K31" s="25">
        <v>25</v>
      </c>
      <c r="L31" s="25" t="s">
        <v>1104</v>
      </c>
      <c r="M31" s="25" t="s">
        <v>1105</v>
      </c>
      <c r="N31" s="25" t="s">
        <v>1007</v>
      </c>
      <c r="O31" s="25">
        <v>0</v>
      </c>
      <c r="P31" s="25" t="s">
        <v>180</v>
      </c>
    </row>
    <row r="32" spans="3:16" s="74" customFormat="1" x14ac:dyDescent="0.15">
      <c r="C32" s="25">
        <v>26</v>
      </c>
      <c r="D32" s="25" t="s">
        <v>1106</v>
      </c>
      <c r="E32" s="25" t="s">
        <v>1107</v>
      </c>
      <c r="F32" s="25" t="s">
        <v>235</v>
      </c>
      <c r="G32" s="25" t="s">
        <v>159</v>
      </c>
      <c r="H32" s="25" t="s">
        <v>40</v>
      </c>
      <c r="I32" s="25"/>
      <c r="K32" s="25">
        <v>26</v>
      </c>
      <c r="L32" s="25" t="s">
        <v>1107</v>
      </c>
      <c r="M32" s="25" t="s">
        <v>1108</v>
      </c>
      <c r="N32" s="25" t="s">
        <v>1007</v>
      </c>
      <c r="O32" s="25">
        <v>0</v>
      </c>
      <c r="P32" s="25" t="s">
        <v>180</v>
      </c>
    </row>
    <row r="33" spans="3:16" s="74" customFormat="1" x14ac:dyDescent="0.15">
      <c r="C33" s="25">
        <v>27</v>
      </c>
      <c r="D33" s="25" t="s">
        <v>1109</v>
      </c>
      <c r="E33" s="25" t="s">
        <v>1110</v>
      </c>
      <c r="F33" s="25" t="s">
        <v>235</v>
      </c>
      <c r="G33" s="25" t="s">
        <v>159</v>
      </c>
      <c r="H33" s="25" t="s">
        <v>40</v>
      </c>
      <c r="I33" s="25"/>
      <c r="K33" s="25">
        <v>27</v>
      </c>
      <c r="L33" s="25" t="s">
        <v>1110</v>
      </c>
      <c r="M33" s="25" t="s">
        <v>1111</v>
      </c>
      <c r="N33" s="25" t="s">
        <v>1007</v>
      </c>
      <c r="O33" s="25">
        <v>0</v>
      </c>
      <c r="P33" s="25" t="s">
        <v>180</v>
      </c>
    </row>
    <row r="34" spans="3:16" s="74" customFormat="1" x14ac:dyDescent="0.15">
      <c r="C34" s="25">
        <v>28</v>
      </c>
      <c r="D34" s="25" t="s">
        <v>1112</v>
      </c>
      <c r="E34" s="25" t="s">
        <v>1113</v>
      </c>
      <c r="F34" s="25" t="s">
        <v>235</v>
      </c>
      <c r="G34" s="25" t="s">
        <v>159</v>
      </c>
      <c r="H34" s="25" t="s">
        <v>40</v>
      </c>
      <c r="I34" s="25"/>
      <c r="K34" s="25">
        <v>28</v>
      </c>
      <c r="L34" s="25" t="s">
        <v>1113</v>
      </c>
      <c r="M34" s="25" t="s">
        <v>1114</v>
      </c>
      <c r="N34" s="25" t="s">
        <v>1007</v>
      </c>
      <c r="O34" s="25">
        <v>0</v>
      </c>
      <c r="P34" s="25" t="s">
        <v>180</v>
      </c>
    </row>
    <row r="35" spans="3:16" s="74" customFormat="1" x14ac:dyDescent="0.15">
      <c r="C35" s="25">
        <v>29</v>
      </c>
      <c r="D35" s="25" t="s">
        <v>1115</v>
      </c>
      <c r="E35" s="25" t="s">
        <v>1116</v>
      </c>
      <c r="F35" s="25" t="s">
        <v>235</v>
      </c>
      <c r="G35" s="25" t="s">
        <v>159</v>
      </c>
      <c r="H35" s="25" t="s">
        <v>40</v>
      </c>
      <c r="I35" s="25"/>
      <c r="K35" s="25">
        <v>29</v>
      </c>
      <c r="L35" s="25" t="s">
        <v>1116</v>
      </c>
      <c r="M35" s="25" t="s">
        <v>1117</v>
      </c>
      <c r="N35" s="25" t="s">
        <v>1007</v>
      </c>
      <c r="O35" s="25">
        <v>0</v>
      </c>
      <c r="P35" s="25" t="s">
        <v>180</v>
      </c>
    </row>
    <row r="36" spans="3:16" s="74" customFormat="1" x14ac:dyDescent="0.15">
      <c r="C36" s="25">
        <v>30</v>
      </c>
      <c r="D36" s="25" t="s">
        <v>1118</v>
      </c>
      <c r="E36" s="25" t="s">
        <v>1119</v>
      </c>
      <c r="F36" s="25" t="s">
        <v>235</v>
      </c>
      <c r="G36" s="25" t="s">
        <v>159</v>
      </c>
      <c r="H36" s="25" t="s">
        <v>40</v>
      </c>
      <c r="I36" s="25"/>
      <c r="K36" s="25">
        <v>30</v>
      </c>
      <c r="L36" s="25" t="s">
        <v>1119</v>
      </c>
      <c r="M36" s="25" t="s">
        <v>1120</v>
      </c>
      <c r="N36" s="25" t="s">
        <v>1007</v>
      </c>
      <c r="O36" s="25">
        <v>0</v>
      </c>
      <c r="P36" s="25" t="s">
        <v>180</v>
      </c>
    </row>
    <row r="37" spans="3:16" s="74" customFormat="1" x14ac:dyDescent="0.15">
      <c r="C37" s="25">
        <v>31</v>
      </c>
      <c r="D37" s="25" t="s">
        <v>1121</v>
      </c>
      <c r="E37" s="25" t="s">
        <v>1122</v>
      </c>
      <c r="F37" s="25" t="s">
        <v>235</v>
      </c>
      <c r="G37" s="25" t="s">
        <v>159</v>
      </c>
      <c r="H37" s="25" t="s">
        <v>40</v>
      </c>
      <c r="I37" s="25"/>
      <c r="K37" s="25">
        <v>31</v>
      </c>
      <c r="L37" s="25" t="s">
        <v>1122</v>
      </c>
      <c r="M37" s="25" t="s">
        <v>1123</v>
      </c>
      <c r="N37" s="25" t="s">
        <v>1007</v>
      </c>
      <c r="O37" s="25">
        <v>0</v>
      </c>
      <c r="P37" s="25" t="s">
        <v>180</v>
      </c>
    </row>
    <row r="38" spans="3:16" s="74" customFormat="1" x14ac:dyDescent="0.15">
      <c r="C38" s="25">
        <v>32</v>
      </c>
      <c r="D38" s="25" t="s">
        <v>1124</v>
      </c>
      <c r="E38" s="25" t="s">
        <v>1125</v>
      </c>
      <c r="F38" s="25" t="s">
        <v>235</v>
      </c>
      <c r="G38" s="25" t="s">
        <v>159</v>
      </c>
      <c r="H38" s="25" t="s">
        <v>40</v>
      </c>
      <c r="I38" s="25"/>
      <c r="K38" s="25">
        <v>32</v>
      </c>
      <c r="L38" s="25" t="s">
        <v>1125</v>
      </c>
      <c r="M38" s="25" t="s">
        <v>1126</v>
      </c>
      <c r="N38" s="25" t="s">
        <v>1007</v>
      </c>
      <c r="O38" s="25">
        <v>0</v>
      </c>
      <c r="P38" s="25" t="s">
        <v>180</v>
      </c>
    </row>
    <row r="39" spans="3:16" s="74" customFormat="1" x14ac:dyDescent="0.15">
      <c r="C39" s="25">
        <v>33</v>
      </c>
      <c r="D39" s="25" t="s">
        <v>1127</v>
      </c>
      <c r="E39" s="25" t="s">
        <v>1128</v>
      </c>
      <c r="F39" s="25" t="s">
        <v>235</v>
      </c>
      <c r="G39" s="25" t="s">
        <v>159</v>
      </c>
      <c r="H39" s="25" t="s">
        <v>40</v>
      </c>
      <c r="I39" s="25"/>
      <c r="K39" s="25">
        <v>33</v>
      </c>
      <c r="L39" s="25" t="s">
        <v>1128</v>
      </c>
      <c r="M39" s="25" t="s">
        <v>1129</v>
      </c>
      <c r="N39" s="25" t="s">
        <v>1007</v>
      </c>
      <c r="O39" s="25">
        <v>0</v>
      </c>
      <c r="P39" s="25" t="s">
        <v>180</v>
      </c>
    </row>
    <row r="40" spans="3:16" s="74" customFormat="1" x14ac:dyDescent="0.15">
      <c r="C40" s="25">
        <v>34</v>
      </c>
      <c r="D40" s="25" t="s">
        <v>1130</v>
      </c>
      <c r="E40" s="25" t="s">
        <v>1131</v>
      </c>
      <c r="F40" s="25" t="s">
        <v>235</v>
      </c>
      <c r="G40" s="25" t="s">
        <v>159</v>
      </c>
      <c r="H40" s="25" t="s">
        <v>40</v>
      </c>
      <c r="I40" s="25"/>
      <c r="K40" s="25">
        <v>34</v>
      </c>
      <c r="L40" s="25" t="s">
        <v>1131</v>
      </c>
      <c r="M40" s="25" t="s">
        <v>1132</v>
      </c>
      <c r="N40" s="25" t="s">
        <v>1007</v>
      </c>
      <c r="O40" s="25">
        <v>0</v>
      </c>
      <c r="P40" s="25" t="s">
        <v>180</v>
      </c>
    </row>
    <row r="41" spans="3:16" s="74" customFormat="1" x14ac:dyDescent="0.15">
      <c r="C41" s="25">
        <v>35</v>
      </c>
      <c r="D41" s="25" t="s">
        <v>1133</v>
      </c>
      <c r="E41" s="25" t="s">
        <v>1134</v>
      </c>
      <c r="F41" s="25" t="s">
        <v>235</v>
      </c>
      <c r="G41" s="25" t="s">
        <v>159</v>
      </c>
      <c r="H41" s="25" t="s">
        <v>40</v>
      </c>
      <c r="I41" s="25"/>
      <c r="K41" s="25">
        <v>35</v>
      </c>
      <c r="L41" s="25" t="s">
        <v>1134</v>
      </c>
      <c r="M41" s="25" t="s">
        <v>1135</v>
      </c>
      <c r="N41" s="25" t="s">
        <v>1007</v>
      </c>
      <c r="O41" s="25">
        <v>0</v>
      </c>
      <c r="P41" s="25" t="s">
        <v>180</v>
      </c>
    </row>
    <row r="42" spans="3:16" s="74" customFormat="1" x14ac:dyDescent="0.15">
      <c r="C42" s="25">
        <v>36</v>
      </c>
      <c r="D42" s="25" t="s">
        <v>1136</v>
      </c>
      <c r="E42" s="25" t="s">
        <v>1137</v>
      </c>
      <c r="F42" s="25" t="s">
        <v>235</v>
      </c>
      <c r="G42" s="25" t="s">
        <v>159</v>
      </c>
      <c r="H42" s="25" t="s">
        <v>40</v>
      </c>
      <c r="I42" s="25"/>
      <c r="K42" s="25">
        <v>36</v>
      </c>
      <c r="L42" s="25" t="s">
        <v>1137</v>
      </c>
      <c r="M42" s="25" t="s">
        <v>1138</v>
      </c>
      <c r="N42" s="25" t="s">
        <v>1007</v>
      </c>
      <c r="O42" s="25">
        <v>0</v>
      </c>
      <c r="P42" s="25" t="s">
        <v>224</v>
      </c>
    </row>
    <row r="43" spans="3:16" s="74" customFormat="1" x14ac:dyDescent="0.15">
      <c r="C43" s="25">
        <v>37</v>
      </c>
      <c r="D43" s="25" t="s">
        <v>1139</v>
      </c>
      <c r="E43" s="25" t="s">
        <v>1140</v>
      </c>
      <c r="F43" s="25" t="s">
        <v>235</v>
      </c>
      <c r="G43" s="25" t="s">
        <v>159</v>
      </c>
      <c r="H43" s="25" t="s">
        <v>40</v>
      </c>
      <c r="I43" s="25"/>
      <c r="K43" s="25">
        <v>37</v>
      </c>
      <c r="L43" s="25" t="s">
        <v>1140</v>
      </c>
      <c r="M43" s="25" t="s">
        <v>1141</v>
      </c>
      <c r="N43" s="25" t="s">
        <v>1007</v>
      </c>
      <c r="O43" s="25">
        <v>0</v>
      </c>
      <c r="P43" s="25" t="s">
        <v>180</v>
      </c>
    </row>
    <row r="44" spans="3:16" s="74" customFormat="1" x14ac:dyDescent="0.15">
      <c r="C44" s="25">
        <v>38</v>
      </c>
      <c r="D44" s="25" t="s">
        <v>1142</v>
      </c>
      <c r="E44" s="25" t="s">
        <v>1143</v>
      </c>
      <c r="F44" s="25" t="s">
        <v>235</v>
      </c>
      <c r="G44" s="25" t="s">
        <v>159</v>
      </c>
      <c r="H44" s="25" t="s">
        <v>40</v>
      </c>
      <c r="I44" s="25"/>
      <c r="K44" s="25">
        <v>38</v>
      </c>
      <c r="L44" s="25" t="s">
        <v>1143</v>
      </c>
      <c r="M44" s="25" t="s">
        <v>1144</v>
      </c>
      <c r="N44" s="25" t="s">
        <v>1007</v>
      </c>
      <c r="O44" s="25">
        <v>0</v>
      </c>
      <c r="P44" s="25" t="s">
        <v>224</v>
      </c>
    </row>
    <row r="45" spans="3:16" s="74" customFormat="1" x14ac:dyDescent="0.15">
      <c r="C45" s="25">
        <v>39</v>
      </c>
      <c r="D45" s="25" t="s">
        <v>1581</v>
      </c>
      <c r="E45" s="25" t="s">
        <v>1145</v>
      </c>
      <c r="F45" s="25" t="s">
        <v>235</v>
      </c>
      <c r="G45" s="25" t="s">
        <v>159</v>
      </c>
      <c r="H45" s="25" t="s">
        <v>40</v>
      </c>
      <c r="I45" s="25"/>
      <c r="K45" s="25">
        <v>39</v>
      </c>
      <c r="L45" s="25" t="s">
        <v>1145</v>
      </c>
      <c r="M45" s="25" t="s">
        <v>1146</v>
      </c>
      <c r="N45" s="25" t="s">
        <v>1007</v>
      </c>
      <c r="O45" s="25">
        <v>0</v>
      </c>
      <c r="P45" s="25" t="s">
        <v>180</v>
      </c>
    </row>
    <row r="46" spans="3:16" s="74" customFormat="1" x14ac:dyDescent="0.15">
      <c r="C46" s="25">
        <v>40</v>
      </c>
      <c r="D46" s="25" t="s">
        <v>1147</v>
      </c>
      <c r="E46" s="25" t="s">
        <v>1148</v>
      </c>
      <c r="F46" s="25" t="s">
        <v>235</v>
      </c>
      <c r="G46" s="25" t="s">
        <v>159</v>
      </c>
      <c r="H46" s="25" t="s">
        <v>40</v>
      </c>
      <c r="I46" s="25"/>
      <c r="K46" s="25">
        <v>40</v>
      </c>
      <c r="L46" s="25" t="s">
        <v>1148</v>
      </c>
      <c r="M46" s="25" t="s">
        <v>1149</v>
      </c>
      <c r="N46" s="25" t="s">
        <v>1007</v>
      </c>
      <c r="O46" s="25">
        <v>0</v>
      </c>
      <c r="P46" s="25" t="s">
        <v>180</v>
      </c>
    </row>
    <row r="47" spans="3:16" s="74" customFormat="1" x14ac:dyDescent="0.15">
      <c r="C47" s="25">
        <v>41</v>
      </c>
      <c r="D47" s="25" t="s">
        <v>1150</v>
      </c>
      <c r="E47" s="25" t="s">
        <v>1151</v>
      </c>
      <c r="F47" s="25" t="s">
        <v>235</v>
      </c>
      <c r="G47" s="25" t="s">
        <v>159</v>
      </c>
      <c r="H47" s="25" t="s">
        <v>40</v>
      </c>
      <c r="I47" s="25"/>
      <c r="K47" s="25">
        <v>41</v>
      </c>
      <c r="L47" s="25" t="s">
        <v>1151</v>
      </c>
      <c r="M47" s="25" t="s">
        <v>1152</v>
      </c>
      <c r="N47" s="25" t="s">
        <v>1007</v>
      </c>
      <c r="O47" s="25">
        <v>0</v>
      </c>
      <c r="P47" s="25" t="s">
        <v>180</v>
      </c>
    </row>
    <row r="48" spans="3:16" s="74" customFormat="1" x14ac:dyDescent="0.15">
      <c r="C48" s="25">
        <v>42</v>
      </c>
      <c r="D48" s="25" t="s">
        <v>1153</v>
      </c>
      <c r="E48" s="25" t="s">
        <v>1154</v>
      </c>
      <c r="F48" s="25" t="s">
        <v>235</v>
      </c>
      <c r="G48" s="25" t="s">
        <v>159</v>
      </c>
      <c r="H48" s="25" t="s">
        <v>40</v>
      </c>
      <c r="I48" s="25"/>
      <c r="K48" s="25">
        <v>42</v>
      </c>
      <c r="L48" s="25" t="s">
        <v>1154</v>
      </c>
      <c r="M48" s="25" t="s">
        <v>1155</v>
      </c>
      <c r="N48" s="25" t="s">
        <v>1007</v>
      </c>
      <c r="O48" s="25">
        <v>0</v>
      </c>
      <c r="P48" s="25" t="s">
        <v>180</v>
      </c>
    </row>
    <row r="49" spans="3:16" s="74" customFormat="1" x14ac:dyDescent="0.15">
      <c r="C49" s="25">
        <v>43</v>
      </c>
      <c r="D49" s="25" t="s">
        <v>1156</v>
      </c>
      <c r="E49" s="25" t="s">
        <v>1157</v>
      </c>
      <c r="F49" s="25" t="s">
        <v>235</v>
      </c>
      <c r="G49" s="25" t="s">
        <v>159</v>
      </c>
      <c r="H49" s="25" t="s">
        <v>40</v>
      </c>
      <c r="I49" s="25"/>
      <c r="K49" s="25">
        <v>43</v>
      </c>
      <c r="L49" s="25" t="s">
        <v>1157</v>
      </c>
      <c r="M49" s="25" t="s">
        <v>1158</v>
      </c>
      <c r="N49" s="25" t="s">
        <v>1007</v>
      </c>
      <c r="O49" s="25">
        <v>0</v>
      </c>
      <c r="P49" s="25" t="s">
        <v>180</v>
      </c>
    </row>
    <row r="50" spans="3:16" s="74" customFormat="1" x14ac:dyDescent="0.15"/>
    <row r="51" spans="3:16" s="74" customFormat="1" x14ac:dyDescent="0.15"/>
    <row r="52" spans="3:16" s="74" customFormat="1" x14ac:dyDescent="0.15"/>
    <row r="53" spans="3:16" s="74" customFormat="1" x14ac:dyDescent="0.15"/>
    <row r="54" spans="3:16" s="74" customFormat="1" x14ac:dyDescent="0.15"/>
    <row r="55" spans="3:16" s="74" customFormat="1" x14ac:dyDescent="0.15"/>
    <row r="56" spans="3:16" s="74" customFormat="1" x14ac:dyDescent="0.15"/>
    <row r="57" spans="3:16" s="74" customFormat="1" x14ac:dyDescent="0.15"/>
    <row r="58" spans="3:16" s="74" customFormat="1" x14ac:dyDescent="0.15"/>
    <row r="59" spans="3:16" s="74" customFormat="1" x14ac:dyDescent="0.15"/>
    <row r="60" spans="3:16" s="74" customFormat="1" x14ac:dyDescent="0.15"/>
    <row r="61" spans="3:16" s="74" customFormat="1" x14ac:dyDescent="0.15"/>
    <row r="62" spans="3:16" s="74" customFormat="1" x14ac:dyDescent="0.15"/>
    <row r="63" spans="3:16" s="74" customFormat="1" x14ac:dyDescent="0.15"/>
    <row r="64" spans="3:16"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06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FFFF00"/>
    <pageSetUpPr fitToPage="1"/>
  </sheetPr>
  <dimension ref="B2:P709"/>
  <sheetViews>
    <sheetView view="pageBreakPreview" zoomScaleSheetLayoutView="100" workbookViewId="0">
      <selection activeCell="E31" sqref="E31"/>
    </sheetView>
  </sheetViews>
  <sheetFormatPr defaultRowHeight="13.5" x14ac:dyDescent="0.15"/>
  <cols>
    <col min="1" max="2" width="2.25" customWidth="1"/>
    <col min="3" max="3" width="3.5" bestFit="1" customWidth="1"/>
    <col min="4" max="4" width="8.125" bestFit="1" customWidth="1"/>
    <col min="5" max="5" width="29.625" bestFit="1" customWidth="1"/>
    <col min="6" max="6" width="8.25" bestFit="1" customWidth="1"/>
    <col min="7" max="7" width="5.375" bestFit="1" customWidth="1"/>
    <col min="8" max="8" width="6" bestFit="1" customWidth="1"/>
    <col min="9" max="9" width="5.25" hidden="1" customWidth="1"/>
    <col min="10" max="10" width="2.25" customWidth="1"/>
    <col min="11" max="11" width="3.875" bestFit="1" customWidth="1"/>
    <col min="12" max="12" width="29.625" bestFit="1" customWidth="1"/>
    <col min="13" max="13" width="24.375" bestFit="1" customWidth="1"/>
    <col min="14" max="14" width="19.375" bestFit="1" customWidth="1"/>
    <col min="15" max="15" width="9.25" bestFit="1" customWidth="1"/>
    <col min="16" max="16" width="11.75" bestFit="1" customWidth="1"/>
  </cols>
  <sheetData>
    <row r="2" spans="2:16" x14ac:dyDescent="0.15">
      <c r="B2" s="5" t="str">
        <f>テーブルマッピング!E24</f>
        <v>取引先マスター一覧</v>
      </c>
      <c r="D2" s="2"/>
      <c r="E2" s="2"/>
    </row>
    <row r="3" spans="2:16" x14ac:dyDescent="0.15">
      <c r="C3" s="8" t="s">
        <v>172</v>
      </c>
      <c r="D3" s="2"/>
      <c r="E3" s="2"/>
    </row>
    <row r="4" spans="2:16" x14ac:dyDescent="0.15">
      <c r="C4" s="8"/>
      <c r="D4" s="2"/>
      <c r="E4" s="2"/>
    </row>
    <row r="5" spans="2:16" x14ac:dyDescent="0.15">
      <c r="C5" s="7"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4" customFormat="1" x14ac:dyDescent="0.15">
      <c r="C7" s="25">
        <v>1</v>
      </c>
      <c r="D7" s="25" t="s">
        <v>133</v>
      </c>
      <c r="E7" s="25" t="s">
        <v>134</v>
      </c>
      <c r="F7" s="25" t="s">
        <v>39</v>
      </c>
      <c r="G7" s="25">
        <v>12</v>
      </c>
      <c r="H7" s="25" t="s">
        <v>40</v>
      </c>
      <c r="I7" s="25"/>
      <c r="K7" s="25">
        <v>1</v>
      </c>
      <c r="L7" s="25" t="s">
        <v>134</v>
      </c>
      <c r="M7" s="25" t="s">
        <v>206</v>
      </c>
      <c r="N7" s="25" t="s">
        <v>254</v>
      </c>
      <c r="O7" s="25">
        <v>1</v>
      </c>
      <c r="P7" s="25" t="s">
        <v>224</v>
      </c>
    </row>
    <row r="8" spans="2:16" s="74" customFormat="1" x14ac:dyDescent="0.15">
      <c r="C8" s="25">
        <v>2</v>
      </c>
      <c r="D8" s="25" t="s">
        <v>135</v>
      </c>
      <c r="E8" s="25" t="s">
        <v>136</v>
      </c>
      <c r="F8" s="25" t="s">
        <v>39</v>
      </c>
      <c r="G8" s="25">
        <v>20</v>
      </c>
      <c r="H8" s="25"/>
      <c r="I8" s="25"/>
      <c r="K8" s="25">
        <v>2</v>
      </c>
      <c r="L8" s="25" t="s">
        <v>207</v>
      </c>
      <c r="M8" s="25" t="s">
        <v>208</v>
      </c>
      <c r="N8" s="25" t="s">
        <v>254</v>
      </c>
      <c r="O8" s="25">
        <v>0</v>
      </c>
      <c r="P8" s="25" t="s">
        <v>224</v>
      </c>
    </row>
    <row r="9" spans="2:16" s="74" customFormat="1" x14ac:dyDescent="0.15">
      <c r="C9" s="25">
        <v>3</v>
      </c>
      <c r="D9" s="25" t="s">
        <v>137</v>
      </c>
      <c r="E9" s="25" t="s">
        <v>138</v>
      </c>
      <c r="F9" s="25" t="s">
        <v>39</v>
      </c>
      <c r="G9" s="25">
        <v>60</v>
      </c>
      <c r="H9" s="25"/>
      <c r="I9" s="25"/>
      <c r="K9" s="25">
        <v>3</v>
      </c>
      <c r="L9" s="25" t="s">
        <v>209</v>
      </c>
      <c r="M9" s="25" t="s">
        <v>210</v>
      </c>
      <c r="N9" s="25" t="s">
        <v>254</v>
      </c>
      <c r="O9" s="25">
        <v>0</v>
      </c>
      <c r="P9" s="25" t="s">
        <v>224</v>
      </c>
    </row>
    <row r="10" spans="2:16" s="74" customFormat="1" x14ac:dyDescent="0.15">
      <c r="C10" s="25">
        <v>4</v>
      </c>
      <c r="D10" s="25" t="s">
        <v>1425</v>
      </c>
      <c r="E10" s="25" t="s">
        <v>1426</v>
      </c>
      <c r="F10" s="56" t="s">
        <v>39</v>
      </c>
      <c r="G10" s="80">
        <v>4</v>
      </c>
      <c r="H10" s="25"/>
      <c r="I10" s="25"/>
      <c r="K10" s="25">
        <v>4</v>
      </c>
      <c r="L10" s="25" t="s">
        <v>1426</v>
      </c>
      <c r="M10" s="25" t="s">
        <v>1427</v>
      </c>
      <c r="N10" s="25" t="s">
        <v>252</v>
      </c>
      <c r="O10" s="25">
        <v>0</v>
      </c>
      <c r="P10" s="25" t="s">
        <v>224</v>
      </c>
    </row>
    <row r="11" spans="2:16" s="74" customFormat="1" x14ac:dyDescent="0.15">
      <c r="C11" s="85">
        <v>5</v>
      </c>
      <c r="D11" s="98" t="s">
        <v>1602</v>
      </c>
      <c r="E11" s="85" t="s">
        <v>1592</v>
      </c>
      <c r="F11" s="99" t="s">
        <v>862</v>
      </c>
      <c r="G11" s="100">
        <v>8</v>
      </c>
      <c r="H11" s="101" t="s">
        <v>40</v>
      </c>
      <c r="K11" s="85">
        <v>5</v>
      </c>
      <c r="L11" s="85" t="s">
        <v>1592</v>
      </c>
      <c r="M11" s="85" t="s">
        <v>1593</v>
      </c>
      <c r="N11" s="85" t="s">
        <v>910</v>
      </c>
      <c r="O11" s="85">
        <v>0</v>
      </c>
      <c r="P11" s="85"/>
    </row>
    <row r="12" spans="2:16" s="74" customFormat="1" x14ac:dyDescent="0.15">
      <c r="C12" s="85">
        <v>6</v>
      </c>
      <c r="D12" s="98" t="s">
        <v>1603</v>
      </c>
      <c r="E12" s="85" t="s">
        <v>1594</v>
      </c>
      <c r="F12" s="99" t="s">
        <v>862</v>
      </c>
      <c r="G12" s="100">
        <v>8</v>
      </c>
      <c r="H12" s="101" t="s">
        <v>40</v>
      </c>
      <c r="K12" s="85">
        <v>6</v>
      </c>
      <c r="L12" s="85" t="s">
        <v>1594</v>
      </c>
      <c r="M12" s="85" t="s">
        <v>1595</v>
      </c>
      <c r="N12" s="85" t="s">
        <v>910</v>
      </c>
      <c r="O12" s="85">
        <v>0</v>
      </c>
      <c r="P12" s="85"/>
    </row>
    <row r="13" spans="2:16" s="74" customFormat="1" x14ac:dyDescent="0.15">
      <c r="C13" s="85">
        <v>7</v>
      </c>
      <c r="D13" s="85" t="s">
        <v>1604</v>
      </c>
      <c r="E13" s="85" t="s">
        <v>1596</v>
      </c>
      <c r="F13" s="99" t="s">
        <v>39</v>
      </c>
      <c r="G13" s="100">
        <v>14</v>
      </c>
      <c r="H13" s="85"/>
      <c r="K13" s="85">
        <v>7</v>
      </c>
      <c r="L13" s="85" t="s">
        <v>1596</v>
      </c>
      <c r="M13" s="85" t="s">
        <v>1597</v>
      </c>
      <c r="N13" s="85" t="s">
        <v>1598</v>
      </c>
      <c r="O13" s="85">
        <v>0</v>
      </c>
      <c r="P13" s="85"/>
    </row>
    <row r="14" spans="2:16" s="74" customFormat="1" x14ac:dyDescent="0.15">
      <c r="C14" s="85">
        <v>8</v>
      </c>
      <c r="D14" s="85" t="s">
        <v>1605</v>
      </c>
      <c r="E14" s="85" t="s">
        <v>1599</v>
      </c>
      <c r="F14" s="99" t="s">
        <v>186</v>
      </c>
      <c r="G14" s="100">
        <v>1</v>
      </c>
      <c r="H14" s="101" t="s">
        <v>40</v>
      </c>
      <c r="K14" s="85">
        <v>8</v>
      </c>
      <c r="L14" s="85" t="s">
        <v>1599</v>
      </c>
      <c r="M14" s="85" t="s">
        <v>1600</v>
      </c>
      <c r="N14" s="85" t="s">
        <v>1601</v>
      </c>
      <c r="O14" s="85">
        <v>0</v>
      </c>
      <c r="P14" s="85" t="s">
        <v>224</v>
      </c>
    </row>
    <row r="15" spans="2:16" s="74" customFormat="1" x14ac:dyDescent="0.15"/>
    <row r="16" spans="2:16" s="74" customFormat="1" x14ac:dyDescent="0.15"/>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0700-000000000000}"/>
  </hyperlinks>
  <pageMargins left="0.70866141732283472" right="0.70866141732283472" top="0.74803149606299213" bottom="0.74803149606299213" header="0.31496062992125984" footer="0.31496062992125984"/>
  <pageSetup paperSize="9" scale="80" fitToHeight="0" orientation="landscape"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B2:P709"/>
  <sheetViews>
    <sheetView view="pageBreakPreview" zoomScaleSheetLayoutView="100" workbookViewId="0"/>
  </sheetViews>
  <sheetFormatPr defaultRowHeight="13.5" x14ac:dyDescent="0.15"/>
  <cols>
    <col min="1" max="2" width="2.25" customWidth="1"/>
    <col min="3" max="3" width="3.5" customWidth="1"/>
    <col min="4" max="4" width="12.375" bestFit="1" customWidth="1"/>
    <col min="5" max="5" width="15" bestFit="1" customWidth="1"/>
    <col min="6" max="6" width="9.5" bestFit="1" customWidth="1"/>
    <col min="7" max="7" width="5.375" bestFit="1" customWidth="1"/>
    <col min="8" max="8" width="6" bestFit="1" customWidth="1"/>
    <col min="9" max="9" width="35.75" hidden="1" customWidth="1"/>
    <col min="10" max="10" width="2.25" customWidth="1"/>
    <col min="11" max="11" width="3.5" customWidth="1"/>
    <col min="12" max="12" width="18.75" bestFit="1" customWidth="1"/>
    <col min="13" max="13" width="22.75" bestFit="1" customWidth="1"/>
    <col min="14" max="14" width="7.375" bestFit="1" customWidth="1"/>
    <col min="15" max="15" width="9.125" bestFit="1" customWidth="1"/>
    <col min="16" max="16" width="19" bestFit="1" customWidth="1"/>
  </cols>
  <sheetData>
    <row r="2" spans="2:16" x14ac:dyDescent="0.15">
      <c r="B2" s="5" t="str">
        <f>テーブルマッピング!E25</f>
        <v>取引先マスター（依頼先）</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4" customFormat="1" x14ac:dyDescent="0.15">
      <c r="C7" s="25">
        <v>1</v>
      </c>
      <c r="D7" s="25" t="s">
        <v>649</v>
      </c>
      <c r="E7" s="25" t="s">
        <v>134</v>
      </c>
      <c r="F7" s="25" t="s">
        <v>39</v>
      </c>
      <c r="G7" s="25">
        <v>13</v>
      </c>
      <c r="H7" s="25"/>
      <c r="I7" s="25"/>
      <c r="K7" s="25">
        <v>1</v>
      </c>
      <c r="L7" s="25" t="s">
        <v>134</v>
      </c>
      <c r="M7" s="25" t="s">
        <v>206</v>
      </c>
      <c r="N7" s="25" t="s">
        <v>252</v>
      </c>
      <c r="O7" s="25">
        <v>1</v>
      </c>
      <c r="P7" s="25" t="s">
        <v>224</v>
      </c>
    </row>
    <row r="8" spans="2:16" s="74" customFormat="1" x14ac:dyDescent="0.15">
      <c r="C8" s="25">
        <v>2</v>
      </c>
      <c r="D8" s="25" t="s">
        <v>650</v>
      </c>
      <c r="E8" s="25" t="s">
        <v>315</v>
      </c>
      <c r="F8" s="25" t="s">
        <v>39</v>
      </c>
      <c r="G8" s="25">
        <v>7</v>
      </c>
      <c r="H8" s="25"/>
      <c r="I8" s="25"/>
      <c r="K8" s="25">
        <v>2</v>
      </c>
      <c r="L8" s="25" t="s">
        <v>315</v>
      </c>
      <c r="M8" s="25" t="s">
        <v>534</v>
      </c>
      <c r="N8" s="25" t="s">
        <v>252</v>
      </c>
      <c r="O8" s="25">
        <v>0</v>
      </c>
      <c r="P8" s="25" t="s">
        <v>224</v>
      </c>
    </row>
    <row r="9" spans="2:16" s="74" customFormat="1" x14ac:dyDescent="0.15">
      <c r="C9" s="25">
        <v>3</v>
      </c>
      <c r="D9" s="25" t="s">
        <v>651</v>
      </c>
      <c r="E9" s="25" t="s">
        <v>317</v>
      </c>
      <c r="F9" s="25" t="s">
        <v>39</v>
      </c>
      <c r="G9" s="25">
        <v>60</v>
      </c>
      <c r="H9" s="25"/>
      <c r="I9" s="25"/>
      <c r="K9" s="25">
        <v>3</v>
      </c>
      <c r="L9" s="25" t="s">
        <v>317</v>
      </c>
      <c r="M9" s="25" t="s">
        <v>535</v>
      </c>
      <c r="N9" s="25" t="s">
        <v>252</v>
      </c>
      <c r="O9" s="25">
        <v>0</v>
      </c>
      <c r="P9" s="25" t="s">
        <v>224</v>
      </c>
    </row>
    <row r="10" spans="2:16" s="74" customFormat="1" x14ac:dyDescent="0.15">
      <c r="C10" s="25">
        <v>4</v>
      </c>
      <c r="D10" s="25" t="s">
        <v>318</v>
      </c>
      <c r="E10" s="25" t="s">
        <v>319</v>
      </c>
      <c r="F10" s="25" t="s">
        <v>39</v>
      </c>
      <c r="G10" s="25">
        <v>60</v>
      </c>
      <c r="H10" s="25"/>
      <c r="I10" s="25"/>
      <c r="K10" s="25">
        <v>4</v>
      </c>
      <c r="L10" s="25" t="s">
        <v>319</v>
      </c>
      <c r="M10" s="25" t="s">
        <v>536</v>
      </c>
      <c r="N10" s="25" t="s">
        <v>252</v>
      </c>
      <c r="O10" s="25">
        <v>0</v>
      </c>
      <c r="P10" s="25" t="s">
        <v>224</v>
      </c>
    </row>
    <row r="11" spans="2:16" s="74" customFormat="1" x14ac:dyDescent="0.15">
      <c r="C11" s="25">
        <v>5</v>
      </c>
      <c r="D11" s="25" t="s">
        <v>320</v>
      </c>
      <c r="E11" s="25" t="s">
        <v>321</v>
      </c>
      <c r="F11" s="25" t="s">
        <v>39</v>
      </c>
      <c r="G11" s="25">
        <v>15</v>
      </c>
      <c r="H11" s="25"/>
      <c r="I11" s="25"/>
      <c r="K11" s="25">
        <v>5</v>
      </c>
      <c r="L11" s="25" t="s">
        <v>321</v>
      </c>
      <c r="M11" s="25" t="s">
        <v>537</v>
      </c>
      <c r="N11" s="25" t="s">
        <v>252</v>
      </c>
      <c r="O11" s="25">
        <v>0</v>
      </c>
      <c r="P11" s="25" t="s">
        <v>224</v>
      </c>
    </row>
    <row r="12" spans="2:16" s="74" customFormat="1" x14ac:dyDescent="0.15">
      <c r="C12" s="25">
        <v>6</v>
      </c>
      <c r="D12" s="83" t="s">
        <v>322</v>
      </c>
      <c r="E12" s="83" t="s">
        <v>323</v>
      </c>
      <c r="F12" s="83" t="s">
        <v>39</v>
      </c>
      <c r="G12" s="83">
        <v>15</v>
      </c>
      <c r="H12" s="83"/>
      <c r="I12" s="25"/>
      <c r="K12" s="25">
        <v>6</v>
      </c>
      <c r="L12" s="25" t="s">
        <v>323</v>
      </c>
      <c r="M12" s="25" t="s">
        <v>538</v>
      </c>
      <c r="N12" s="25" t="s">
        <v>252</v>
      </c>
      <c r="O12" s="25">
        <v>0</v>
      </c>
      <c r="P12" s="25" t="s">
        <v>224</v>
      </c>
    </row>
    <row r="13" spans="2:16" s="74" customFormat="1" x14ac:dyDescent="0.15">
      <c r="C13" s="25">
        <v>7</v>
      </c>
      <c r="D13" s="56" t="s">
        <v>1428</v>
      </c>
      <c r="E13" s="56" t="s">
        <v>621</v>
      </c>
      <c r="F13" s="56" t="s">
        <v>39</v>
      </c>
      <c r="G13" s="80">
        <v>60</v>
      </c>
      <c r="H13" s="25"/>
      <c r="I13" s="25"/>
      <c r="K13" s="25">
        <v>7</v>
      </c>
      <c r="L13" s="25" t="s">
        <v>689</v>
      </c>
      <c r="M13" s="25" t="s">
        <v>543</v>
      </c>
      <c r="N13" s="25" t="s">
        <v>252</v>
      </c>
      <c r="O13" s="25">
        <v>0</v>
      </c>
      <c r="P13" s="25" t="s">
        <v>224</v>
      </c>
    </row>
    <row r="14" spans="2:16" s="74" customFormat="1" x14ac:dyDescent="0.15">
      <c r="C14" s="25">
        <v>8</v>
      </c>
      <c r="D14" s="56" t="s">
        <v>622</v>
      </c>
      <c r="E14" s="56" t="s">
        <v>623</v>
      </c>
      <c r="F14" s="56" t="s">
        <v>39</v>
      </c>
      <c r="G14" s="80">
        <v>60</v>
      </c>
      <c r="H14" s="25"/>
      <c r="I14" s="25"/>
      <c r="K14" s="25">
        <v>8</v>
      </c>
      <c r="L14" s="25" t="s">
        <v>544</v>
      </c>
      <c r="M14" s="25" t="s">
        <v>545</v>
      </c>
      <c r="N14" s="25" t="s">
        <v>252</v>
      </c>
      <c r="O14" s="25">
        <v>0</v>
      </c>
      <c r="P14" s="25" t="s">
        <v>224</v>
      </c>
    </row>
    <row r="15" spans="2:16" s="74" customFormat="1" x14ac:dyDescent="0.15">
      <c r="C15" s="25">
        <v>9</v>
      </c>
      <c r="D15" s="25" t="s">
        <v>652</v>
      </c>
      <c r="E15" s="25" t="s">
        <v>648</v>
      </c>
      <c r="F15" s="25" t="s">
        <v>35</v>
      </c>
      <c r="G15" s="25"/>
      <c r="H15" s="25"/>
      <c r="I15" s="25"/>
      <c r="K15" s="25">
        <v>9</v>
      </c>
      <c r="L15" s="25" t="s">
        <v>648</v>
      </c>
      <c r="M15" s="25" t="s">
        <v>688</v>
      </c>
      <c r="N15" s="25" t="s">
        <v>35</v>
      </c>
      <c r="O15" s="25">
        <v>0</v>
      </c>
      <c r="P15" s="25"/>
    </row>
    <row r="16" spans="2:16" s="74" customFormat="1" x14ac:dyDescent="0.15">
      <c r="C16" s="25">
        <v>10</v>
      </c>
      <c r="D16" s="56" t="s">
        <v>617</v>
      </c>
      <c r="E16" s="56" t="s">
        <v>618</v>
      </c>
      <c r="F16" s="56" t="s">
        <v>39</v>
      </c>
      <c r="G16" s="80">
        <v>1</v>
      </c>
      <c r="H16" s="25"/>
      <c r="I16" s="25"/>
      <c r="K16" s="25">
        <v>10</v>
      </c>
      <c r="L16" s="25" t="s">
        <v>551</v>
      </c>
      <c r="M16" s="25" t="s">
        <v>687</v>
      </c>
      <c r="N16" s="25" t="s">
        <v>252</v>
      </c>
      <c r="O16" s="25">
        <v>0</v>
      </c>
      <c r="P16" s="25" t="s">
        <v>224</v>
      </c>
    </row>
    <row r="17" spans="3:16" s="74" customFormat="1" x14ac:dyDescent="0.15">
      <c r="C17" s="25">
        <v>11</v>
      </c>
      <c r="D17" s="56" t="s">
        <v>619</v>
      </c>
      <c r="E17" s="56" t="s">
        <v>553</v>
      </c>
      <c r="F17" s="56" t="s">
        <v>39</v>
      </c>
      <c r="G17" s="80">
        <v>15</v>
      </c>
      <c r="H17" s="25"/>
      <c r="I17" s="25"/>
      <c r="K17" s="25">
        <v>11</v>
      </c>
      <c r="L17" s="25" t="s">
        <v>553</v>
      </c>
      <c r="M17" s="25" t="s">
        <v>554</v>
      </c>
      <c r="N17" s="25" t="s">
        <v>252</v>
      </c>
      <c r="O17" s="25">
        <v>0</v>
      </c>
      <c r="P17" s="25" t="s">
        <v>224</v>
      </c>
    </row>
    <row r="18" spans="3:16" s="74" customFormat="1" x14ac:dyDescent="0.15">
      <c r="C18" s="25">
        <v>12</v>
      </c>
      <c r="D18" s="56" t="s">
        <v>624</v>
      </c>
      <c r="E18" s="56" t="s">
        <v>555</v>
      </c>
      <c r="F18" s="56" t="s">
        <v>35</v>
      </c>
      <c r="G18" s="80"/>
      <c r="H18" s="25"/>
      <c r="I18" s="25"/>
      <c r="K18" s="25">
        <v>12</v>
      </c>
      <c r="L18" s="25" t="s">
        <v>555</v>
      </c>
      <c r="M18" s="25" t="s">
        <v>556</v>
      </c>
      <c r="N18" s="25" t="s">
        <v>35</v>
      </c>
      <c r="O18" s="25">
        <v>0</v>
      </c>
      <c r="P18" s="25"/>
    </row>
    <row r="19" spans="3:16" s="74" customFormat="1" x14ac:dyDescent="0.15">
      <c r="C19" s="25">
        <v>13</v>
      </c>
      <c r="D19" s="56" t="s">
        <v>625</v>
      </c>
      <c r="E19" s="56" t="s">
        <v>636</v>
      </c>
      <c r="F19" s="56" t="s">
        <v>39</v>
      </c>
      <c r="G19" s="80">
        <v>1</v>
      </c>
      <c r="H19" s="25"/>
      <c r="I19" s="25"/>
      <c r="K19" s="25">
        <v>13</v>
      </c>
      <c r="L19" s="25" t="s">
        <v>557</v>
      </c>
      <c r="M19" s="25" t="s">
        <v>558</v>
      </c>
      <c r="N19" s="25" t="s">
        <v>252</v>
      </c>
      <c r="O19" s="25">
        <v>0</v>
      </c>
      <c r="P19" s="25" t="s">
        <v>224</v>
      </c>
    </row>
    <row r="20" spans="3:16" s="74" customFormat="1" x14ac:dyDescent="0.15">
      <c r="C20" s="25">
        <v>14</v>
      </c>
      <c r="D20" s="84" t="s">
        <v>611</v>
      </c>
      <c r="E20" s="56" t="s">
        <v>612</v>
      </c>
      <c r="F20" s="56" t="s">
        <v>39</v>
      </c>
      <c r="G20" s="80">
        <v>4</v>
      </c>
      <c r="H20" s="25"/>
      <c r="I20" s="25"/>
      <c r="K20" s="25">
        <v>14</v>
      </c>
      <c r="L20" s="25" t="s">
        <v>565</v>
      </c>
      <c r="M20" s="25" t="s">
        <v>566</v>
      </c>
      <c r="N20" s="25" t="s">
        <v>252</v>
      </c>
      <c r="O20" s="25">
        <v>0</v>
      </c>
      <c r="P20" s="25" t="s">
        <v>224</v>
      </c>
    </row>
    <row r="21" spans="3:16" s="74" customFormat="1" x14ac:dyDescent="0.15">
      <c r="C21" s="25">
        <v>15</v>
      </c>
      <c r="D21" s="56" t="s">
        <v>614</v>
      </c>
      <c r="E21" s="56" t="s">
        <v>615</v>
      </c>
      <c r="F21" s="56" t="s">
        <v>39</v>
      </c>
      <c r="G21" s="80">
        <v>3</v>
      </c>
      <c r="H21" s="25"/>
      <c r="I21" s="25"/>
      <c r="K21" s="25">
        <v>15</v>
      </c>
      <c r="L21" s="25" t="s">
        <v>567</v>
      </c>
      <c r="M21" s="25" t="s">
        <v>568</v>
      </c>
      <c r="N21" s="25" t="s">
        <v>252</v>
      </c>
      <c r="O21" s="25">
        <v>0</v>
      </c>
      <c r="P21" s="25" t="s">
        <v>224</v>
      </c>
    </row>
    <row r="22" spans="3:16" s="74" customFormat="1" x14ac:dyDescent="0.15">
      <c r="C22" s="25">
        <v>16</v>
      </c>
      <c r="D22" s="25" t="s">
        <v>380</v>
      </c>
      <c r="E22" s="25" t="s">
        <v>381</v>
      </c>
      <c r="F22" s="25" t="s">
        <v>35</v>
      </c>
      <c r="G22" s="25"/>
      <c r="H22" s="25"/>
      <c r="I22" s="25"/>
      <c r="K22" s="25">
        <v>16</v>
      </c>
      <c r="L22" s="25" t="s">
        <v>381</v>
      </c>
      <c r="M22" s="25" t="s">
        <v>573</v>
      </c>
      <c r="N22" s="25" t="s">
        <v>35</v>
      </c>
      <c r="O22" s="25">
        <v>0</v>
      </c>
      <c r="P22" s="25"/>
    </row>
    <row r="23" spans="3:16" s="74" customFormat="1" x14ac:dyDescent="0.15">
      <c r="C23" s="25">
        <v>17</v>
      </c>
      <c r="D23" s="25" t="s">
        <v>384</v>
      </c>
      <c r="E23" s="25" t="s">
        <v>385</v>
      </c>
      <c r="F23" s="25" t="s">
        <v>35</v>
      </c>
      <c r="G23" s="25"/>
      <c r="H23" s="25"/>
      <c r="I23" s="25"/>
      <c r="K23" s="25">
        <v>17</v>
      </c>
      <c r="L23" s="25" t="s">
        <v>385</v>
      </c>
      <c r="M23" s="25" t="s">
        <v>574</v>
      </c>
      <c r="N23" s="25" t="s">
        <v>35</v>
      </c>
      <c r="O23" s="25">
        <v>0</v>
      </c>
      <c r="P23" s="25"/>
    </row>
    <row r="24" spans="3:16" s="74" customFormat="1" x14ac:dyDescent="0.15">
      <c r="C24" s="25">
        <v>18</v>
      </c>
      <c r="D24" s="25" t="s">
        <v>390</v>
      </c>
      <c r="E24" s="25" t="s">
        <v>391</v>
      </c>
      <c r="F24" s="25" t="s">
        <v>158</v>
      </c>
      <c r="G24" s="25" t="s">
        <v>392</v>
      </c>
      <c r="H24" s="25"/>
      <c r="I24" s="25"/>
      <c r="K24" s="25">
        <v>18</v>
      </c>
      <c r="L24" s="25" t="s">
        <v>391</v>
      </c>
      <c r="M24" s="25" t="s">
        <v>581</v>
      </c>
      <c r="N24" s="25" t="s">
        <v>253</v>
      </c>
      <c r="O24" s="25">
        <v>0</v>
      </c>
      <c r="P24" s="25"/>
    </row>
    <row r="25" spans="3:16" s="74" customFormat="1" x14ac:dyDescent="0.15">
      <c r="C25" s="25">
        <v>19</v>
      </c>
      <c r="D25" s="25" t="s">
        <v>1429</v>
      </c>
      <c r="E25" s="25" t="s">
        <v>1426</v>
      </c>
      <c r="F25" s="56" t="s">
        <v>39</v>
      </c>
      <c r="G25" s="80">
        <v>4</v>
      </c>
      <c r="H25" s="25"/>
      <c r="I25" s="25"/>
      <c r="K25" s="25">
        <v>19</v>
      </c>
      <c r="L25" s="25" t="s">
        <v>1426</v>
      </c>
      <c r="M25" s="25" t="s">
        <v>1427</v>
      </c>
      <c r="N25" s="25" t="s">
        <v>252</v>
      </c>
      <c r="O25" s="25">
        <v>0</v>
      </c>
      <c r="P25" s="25" t="s">
        <v>224</v>
      </c>
    </row>
    <row r="26" spans="3:16" s="74" customFormat="1" x14ac:dyDescent="0.15">
      <c r="C26" s="25">
        <v>23</v>
      </c>
      <c r="D26" s="25" t="s">
        <v>324</v>
      </c>
      <c r="E26" s="25" t="s">
        <v>1430</v>
      </c>
      <c r="F26" s="56" t="s">
        <v>39</v>
      </c>
      <c r="G26" s="25">
        <v>30</v>
      </c>
      <c r="H26" s="25"/>
      <c r="I26" s="25"/>
      <c r="K26" s="25">
        <v>23</v>
      </c>
      <c r="L26" s="25" t="s">
        <v>1430</v>
      </c>
      <c r="M26" s="25" t="s">
        <v>1431</v>
      </c>
      <c r="N26" s="25" t="s">
        <v>252</v>
      </c>
      <c r="O26" s="25">
        <v>0</v>
      </c>
      <c r="P26" s="25" t="s">
        <v>224</v>
      </c>
    </row>
    <row r="27" spans="3:16" s="74" customFormat="1" x14ac:dyDescent="0.15">
      <c r="C27" s="25">
        <v>24</v>
      </c>
      <c r="D27" s="25" t="s">
        <v>326</v>
      </c>
      <c r="E27" s="25" t="s">
        <v>1432</v>
      </c>
      <c r="F27" s="56" t="s">
        <v>39</v>
      </c>
      <c r="G27" s="25">
        <v>30</v>
      </c>
      <c r="H27" s="25"/>
      <c r="I27" s="25"/>
      <c r="K27" s="25">
        <v>24</v>
      </c>
      <c r="L27" s="25" t="s">
        <v>1432</v>
      </c>
      <c r="M27" s="25" t="s">
        <v>1433</v>
      </c>
      <c r="N27" s="25" t="s">
        <v>252</v>
      </c>
      <c r="O27" s="25">
        <v>0</v>
      </c>
      <c r="P27" s="25" t="s">
        <v>224</v>
      </c>
    </row>
    <row r="28" spans="3:16" s="74" customFormat="1" x14ac:dyDescent="0.15">
      <c r="C28" s="25">
        <v>25</v>
      </c>
      <c r="D28" s="25" t="s">
        <v>328</v>
      </c>
      <c r="E28" s="25" t="s">
        <v>1434</v>
      </c>
      <c r="F28" s="25" t="s">
        <v>35</v>
      </c>
      <c r="G28" s="25"/>
      <c r="H28" s="25"/>
      <c r="I28" s="25"/>
      <c r="K28" s="25">
        <v>25</v>
      </c>
      <c r="L28" s="25" t="s">
        <v>1434</v>
      </c>
      <c r="M28" s="25" t="s">
        <v>1435</v>
      </c>
      <c r="N28" s="25" t="s">
        <v>35</v>
      </c>
      <c r="O28" s="25">
        <v>0</v>
      </c>
      <c r="P28" s="25" t="s">
        <v>224</v>
      </c>
    </row>
    <row r="29" spans="3:16" s="74" customFormat="1" x14ac:dyDescent="0.15">
      <c r="C29" s="25">
        <v>27</v>
      </c>
      <c r="D29" s="25" t="s">
        <v>347</v>
      </c>
      <c r="E29" s="25" t="s">
        <v>1436</v>
      </c>
      <c r="F29" s="25" t="s">
        <v>35</v>
      </c>
      <c r="G29" s="25"/>
      <c r="H29" s="25" t="s">
        <v>1437</v>
      </c>
      <c r="I29" s="25"/>
      <c r="K29" s="25">
        <v>27</v>
      </c>
      <c r="L29" s="25" t="s">
        <v>1436</v>
      </c>
      <c r="M29" s="25" t="s">
        <v>1438</v>
      </c>
      <c r="N29" s="25" t="s">
        <v>35</v>
      </c>
      <c r="O29" s="25">
        <v>0</v>
      </c>
      <c r="P29" s="25" t="s">
        <v>224</v>
      </c>
    </row>
    <row r="30" spans="3:16" s="74" customFormat="1" x14ac:dyDescent="0.15">
      <c r="C30" s="25">
        <v>28</v>
      </c>
      <c r="D30" s="25" t="s">
        <v>349</v>
      </c>
      <c r="E30" s="25" t="s">
        <v>1439</v>
      </c>
      <c r="F30" s="25" t="s">
        <v>35</v>
      </c>
      <c r="G30" s="25"/>
      <c r="H30" s="25" t="s">
        <v>1437</v>
      </c>
      <c r="I30" s="25"/>
      <c r="K30" s="25">
        <v>28</v>
      </c>
      <c r="L30" s="25" t="s">
        <v>1439</v>
      </c>
      <c r="M30" s="25" t="s">
        <v>1440</v>
      </c>
      <c r="N30" s="25" t="s">
        <v>35</v>
      </c>
      <c r="O30" s="25">
        <v>0</v>
      </c>
      <c r="P30" s="25" t="s">
        <v>224</v>
      </c>
    </row>
    <row r="31" spans="3:16" s="74" customFormat="1" x14ac:dyDescent="0.15">
      <c r="C31" s="25">
        <v>29</v>
      </c>
      <c r="D31" s="25" t="s">
        <v>332</v>
      </c>
      <c r="E31" s="25" t="s">
        <v>1441</v>
      </c>
      <c r="F31" s="56" t="s">
        <v>39</v>
      </c>
      <c r="G31" s="25">
        <v>12</v>
      </c>
      <c r="H31" s="25"/>
      <c r="I31" s="25"/>
      <c r="K31" s="25">
        <v>29</v>
      </c>
      <c r="L31" s="25" t="s">
        <v>1441</v>
      </c>
      <c r="M31" s="25" t="s">
        <v>1442</v>
      </c>
      <c r="N31" s="25" t="s">
        <v>252</v>
      </c>
      <c r="O31" s="25">
        <v>0</v>
      </c>
      <c r="P31" s="25" t="s">
        <v>224</v>
      </c>
    </row>
    <row r="32" spans="3:16" s="74" customFormat="1" x14ac:dyDescent="0.15">
      <c r="C32" s="25">
        <v>30</v>
      </c>
      <c r="D32" s="25" t="s">
        <v>337</v>
      </c>
      <c r="E32" s="25" t="s">
        <v>1443</v>
      </c>
      <c r="F32" s="56" t="s">
        <v>39</v>
      </c>
      <c r="G32" s="25">
        <v>16</v>
      </c>
      <c r="H32" s="25"/>
      <c r="I32" s="25"/>
      <c r="K32" s="25">
        <v>30</v>
      </c>
      <c r="L32" s="25" t="s">
        <v>1443</v>
      </c>
      <c r="M32" s="25" t="s">
        <v>1444</v>
      </c>
      <c r="N32" s="25" t="s">
        <v>252</v>
      </c>
      <c r="O32" s="25">
        <v>0</v>
      </c>
      <c r="P32" s="25" t="s">
        <v>224</v>
      </c>
    </row>
    <row r="33" spans="3:16" s="74" customFormat="1" x14ac:dyDescent="0.15">
      <c r="C33" s="25">
        <v>31</v>
      </c>
      <c r="D33" s="25" t="s">
        <v>1445</v>
      </c>
      <c r="E33" s="25" t="s">
        <v>1446</v>
      </c>
      <c r="F33" s="56" t="s">
        <v>39</v>
      </c>
      <c r="G33" s="25">
        <v>15</v>
      </c>
      <c r="H33" s="25"/>
      <c r="I33" s="25"/>
      <c r="K33" s="25">
        <v>31</v>
      </c>
      <c r="L33" s="25" t="s">
        <v>1446</v>
      </c>
      <c r="M33" s="25" t="s">
        <v>1447</v>
      </c>
      <c r="N33" s="25" t="s">
        <v>252</v>
      </c>
      <c r="O33" s="25">
        <v>0</v>
      </c>
      <c r="P33" s="25" t="s">
        <v>224</v>
      </c>
    </row>
    <row r="34" spans="3:16" s="74" customFormat="1" x14ac:dyDescent="0.15">
      <c r="C34" s="25">
        <v>32</v>
      </c>
      <c r="D34" s="25" t="s">
        <v>351</v>
      </c>
      <c r="E34" s="25" t="s">
        <v>1448</v>
      </c>
      <c r="F34" s="25" t="s">
        <v>35</v>
      </c>
      <c r="G34" s="25"/>
      <c r="H34" s="25" t="s">
        <v>1437</v>
      </c>
      <c r="I34" s="25"/>
      <c r="K34" s="25">
        <v>32</v>
      </c>
      <c r="L34" s="25" t="s">
        <v>1448</v>
      </c>
      <c r="M34" s="25" t="s">
        <v>1449</v>
      </c>
      <c r="N34" s="25" t="s">
        <v>35</v>
      </c>
      <c r="O34" s="25">
        <v>0</v>
      </c>
      <c r="P34" s="25"/>
    </row>
    <row r="35" spans="3:16" s="74" customFormat="1" x14ac:dyDescent="0.15">
      <c r="C35" s="25">
        <v>33</v>
      </c>
      <c r="D35" s="25" t="s">
        <v>353</v>
      </c>
      <c r="E35" s="25" t="s">
        <v>1450</v>
      </c>
      <c r="F35" s="25" t="s">
        <v>35</v>
      </c>
      <c r="G35" s="25"/>
      <c r="H35" s="25" t="s">
        <v>1437</v>
      </c>
      <c r="I35" s="25"/>
      <c r="K35" s="25">
        <v>33</v>
      </c>
      <c r="L35" s="25" t="s">
        <v>1450</v>
      </c>
      <c r="M35" s="25" t="s">
        <v>1451</v>
      </c>
      <c r="N35" s="25" t="s">
        <v>35</v>
      </c>
      <c r="O35" s="25">
        <v>0</v>
      </c>
      <c r="P35" s="25"/>
    </row>
    <row r="36" spans="3:16" s="74" customFormat="1" x14ac:dyDescent="0.15">
      <c r="C36" s="25">
        <v>34</v>
      </c>
      <c r="D36" s="25" t="s">
        <v>355</v>
      </c>
      <c r="E36" s="25" t="s">
        <v>1452</v>
      </c>
      <c r="F36" s="25" t="s">
        <v>35</v>
      </c>
      <c r="G36" s="25"/>
      <c r="H36" s="25" t="s">
        <v>1437</v>
      </c>
      <c r="I36" s="25"/>
      <c r="K36" s="25">
        <v>34</v>
      </c>
      <c r="L36" s="25" t="s">
        <v>1452</v>
      </c>
      <c r="M36" s="25" t="s">
        <v>1453</v>
      </c>
      <c r="N36" s="25" t="s">
        <v>35</v>
      </c>
      <c r="O36" s="25">
        <v>0</v>
      </c>
      <c r="P36" s="25"/>
    </row>
    <row r="37" spans="3:16" s="74" customFormat="1" x14ac:dyDescent="0.15">
      <c r="C37" s="25">
        <v>36</v>
      </c>
      <c r="D37" s="25" t="s">
        <v>357</v>
      </c>
      <c r="E37" s="25" t="s">
        <v>1454</v>
      </c>
      <c r="F37" s="25" t="s">
        <v>35</v>
      </c>
      <c r="G37" s="25"/>
      <c r="H37" s="25" t="s">
        <v>1437</v>
      </c>
      <c r="I37" s="25"/>
      <c r="K37" s="25">
        <v>36</v>
      </c>
      <c r="L37" s="25" t="s">
        <v>1454</v>
      </c>
      <c r="M37" s="25" t="s">
        <v>1455</v>
      </c>
      <c r="N37" s="25" t="s">
        <v>35</v>
      </c>
      <c r="O37" s="25">
        <v>0</v>
      </c>
      <c r="P37" s="25"/>
    </row>
    <row r="38" spans="3:16" s="74" customFormat="1" x14ac:dyDescent="0.15">
      <c r="C38" s="25">
        <v>37</v>
      </c>
      <c r="D38" s="25" t="s">
        <v>1456</v>
      </c>
      <c r="E38" s="25" t="s">
        <v>1457</v>
      </c>
      <c r="F38" s="56" t="s">
        <v>39</v>
      </c>
      <c r="G38" s="25">
        <v>10</v>
      </c>
      <c r="H38" s="25"/>
      <c r="I38" s="25"/>
      <c r="K38" s="25">
        <v>37</v>
      </c>
      <c r="L38" s="25" t="s">
        <v>1457</v>
      </c>
      <c r="M38" s="25" t="s">
        <v>1458</v>
      </c>
      <c r="N38" s="25" t="s">
        <v>252</v>
      </c>
      <c r="O38" s="25">
        <v>0</v>
      </c>
      <c r="P38" s="25" t="s">
        <v>224</v>
      </c>
    </row>
    <row r="39" spans="3:16" s="74" customFormat="1" x14ac:dyDescent="0.15">
      <c r="C39" s="25">
        <v>38</v>
      </c>
      <c r="D39" s="25" t="s">
        <v>510</v>
      </c>
      <c r="E39" s="25" t="s">
        <v>1459</v>
      </c>
      <c r="F39" s="56" t="s">
        <v>39</v>
      </c>
      <c r="G39" s="25">
        <v>20</v>
      </c>
      <c r="H39" s="25"/>
      <c r="I39" s="25"/>
      <c r="K39" s="25">
        <v>38</v>
      </c>
      <c r="L39" s="25" t="s">
        <v>1459</v>
      </c>
      <c r="M39" s="25" t="s">
        <v>1460</v>
      </c>
      <c r="N39" s="25" t="s">
        <v>252</v>
      </c>
      <c r="O39" s="25">
        <v>0</v>
      </c>
      <c r="P39" s="25" t="s">
        <v>224</v>
      </c>
    </row>
    <row r="40" spans="3:16" s="74" customFormat="1" x14ac:dyDescent="0.15">
      <c r="C40" s="25">
        <v>39</v>
      </c>
      <c r="D40" s="25" t="s">
        <v>512</v>
      </c>
      <c r="E40" s="25" t="s">
        <v>1461</v>
      </c>
      <c r="F40" s="25" t="s">
        <v>35</v>
      </c>
      <c r="G40" s="25"/>
      <c r="H40" s="25" t="s">
        <v>1437</v>
      </c>
      <c r="I40" s="25"/>
      <c r="K40" s="25">
        <v>39</v>
      </c>
      <c r="L40" s="25" t="s">
        <v>1461</v>
      </c>
      <c r="M40" s="25" t="s">
        <v>1462</v>
      </c>
      <c r="N40" s="25" t="s">
        <v>35</v>
      </c>
      <c r="O40" s="25">
        <v>0</v>
      </c>
      <c r="P40" s="25"/>
    </row>
    <row r="41" spans="3:16" s="74" customFormat="1" x14ac:dyDescent="0.15">
      <c r="C41" s="25">
        <v>40</v>
      </c>
      <c r="D41" s="25" t="s">
        <v>514</v>
      </c>
      <c r="E41" s="25" t="s">
        <v>1463</v>
      </c>
      <c r="F41" s="25" t="s">
        <v>862</v>
      </c>
      <c r="G41" s="25"/>
      <c r="H41" s="25" t="s">
        <v>1437</v>
      </c>
      <c r="I41" s="25"/>
      <c r="K41" s="25">
        <v>40</v>
      </c>
      <c r="L41" s="25" t="s">
        <v>1463</v>
      </c>
      <c r="M41" s="25" t="s">
        <v>1464</v>
      </c>
      <c r="N41" s="25" t="s">
        <v>862</v>
      </c>
      <c r="O41" s="25">
        <v>0</v>
      </c>
      <c r="P41" s="25"/>
    </row>
    <row r="42" spans="3:16" s="74" customFormat="1" x14ac:dyDescent="0.15">
      <c r="C42" s="25">
        <v>41</v>
      </c>
      <c r="D42" s="25" t="s">
        <v>626</v>
      </c>
      <c r="E42" s="25" t="s">
        <v>1465</v>
      </c>
      <c r="F42" s="25" t="s">
        <v>158</v>
      </c>
      <c r="G42" s="25" t="s">
        <v>392</v>
      </c>
      <c r="H42" s="25" t="s">
        <v>1437</v>
      </c>
      <c r="I42" s="25"/>
      <c r="K42" s="25">
        <v>41</v>
      </c>
      <c r="L42" s="25" t="s">
        <v>1465</v>
      </c>
      <c r="M42" s="25" t="s">
        <v>1466</v>
      </c>
      <c r="N42" s="25" t="s">
        <v>253</v>
      </c>
      <c r="O42" s="25">
        <v>0</v>
      </c>
      <c r="P42" s="25"/>
    </row>
    <row r="43" spans="3:16" s="74" customFormat="1" x14ac:dyDescent="0.15"/>
    <row r="44" spans="3:16" s="74" customFormat="1" x14ac:dyDescent="0.15"/>
    <row r="45" spans="3:16" s="74" customFormat="1" x14ac:dyDescent="0.15"/>
    <row r="46" spans="3:16" s="74" customFormat="1" x14ac:dyDescent="0.15"/>
    <row r="47" spans="3:16" s="74" customFormat="1" x14ac:dyDescent="0.15"/>
    <row r="48" spans="3:16"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0800-000000000000}"/>
  </hyperlinks>
  <pageMargins left="0.70866141732283472" right="0.70866141732283472" top="0.74803149606299213" bottom="0.74803149606299213" header="0.31496062992125984" footer="0.31496062992125984"/>
  <pageSetup paperSize="9" scale="96" fitToHeight="0" orientation="landscape"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69243-9A96-4D7D-97EB-E1A1AA0A1293}">
  <sheetPr codeName="Sheet79">
    <pageSetUpPr fitToPage="1"/>
  </sheetPr>
  <dimension ref="B2:P709"/>
  <sheetViews>
    <sheetView view="pageBreakPreview" zoomScaleSheetLayoutView="100" workbookViewId="0"/>
  </sheetViews>
  <sheetFormatPr defaultRowHeight="13.5" x14ac:dyDescent="0.15"/>
  <cols>
    <col min="1" max="2" width="2.25" customWidth="1"/>
    <col min="3" max="3" width="4.5" customWidth="1"/>
    <col min="4" max="4" width="8.125" customWidth="1"/>
    <col min="5" max="5" width="29.625" customWidth="1"/>
    <col min="6" max="6" width="8.25" customWidth="1"/>
    <col min="7" max="7" width="5.375" customWidth="1"/>
    <col min="8" max="8" width="6" customWidth="1"/>
    <col min="9" max="9" width="65.75" hidden="1" customWidth="1"/>
    <col min="10" max="10" width="2.25" customWidth="1"/>
    <col min="11" max="11" width="4.5" customWidth="1"/>
    <col min="12" max="12" width="35.75" customWidth="1"/>
    <col min="13" max="13" width="29" customWidth="1"/>
    <col min="14" max="14" width="8" customWidth="1"/>
    <col min="15" max="15" width="9.25" customWidth="1"/>
    <col min="16" max="16" width="11.75" customWidth="1"/>
  </cols>
  <sheetData>
    <row r="2" spans="2:16" x14ac:dyDescent="0.15">
      <c r="B2" s="5" t="s">
        <v>1484</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4" customFormat="1" x14ac:dyDescent="0.15">
      <c r="C7" s="25">
        <v>1</v>
      </c>
      <c r="D7" s="57" t="s">
        <v>1483</v>
      </c>
      <c r="E7" s="25" t="s">
        <v>1482</v>
      </c>
      <c r="F7" s="25" t="s">
        <v>39</v>
      </c>
      <c r="G7" s="25"/>
      <c r="H7" s="25" t="s">
        <v>40</v>
      </c>
      <c r="I7" s="25"/>
      <c r="K7" s="25">
        <v>1</v>
      </c>
      <c r="L7" s="25" t="s">
        <v>1482</v>
      </c>
      <c r="M7" s="25" t="s">
        <v>206</v>
      </c>
      <c r="N7" s="25" t="s">
        <v>254</v>
      </c>
      <c r="O7" s="25">
        <v>1</v>
      </c>
      <c r="P7" s="25" t="s">
        <v>224</v>
      </c>
    </row>
    <row r="8" spans="2:16" s="74" customFormat="1" x14ac:dyDescent="0.15">
      <c r="C8" s="25">
        <v>2</v>
      </c>
      <c r="D8" s="25" t="s">
        <v>1481</v>
      </c>
      <c r="E8" s="25" t="s">
        <v>1480</v>
      </c>
      <c r="F8" s="25" t="s">
        <v>186</v>
      </c>
      <c r="G8" s="25"/>
      <c r="H8" s="25" t="s">
        <v>764</v>
      </c>
      <c r="I8" s="25"/>
      <c r="K8" s="25">
        <v>2</v>
      </c>
      <c r="L8" s="25" t="s">
        <v>1480</v>
      </c>
      <c r="M8" s="25" t="s">
        <v>1479</v>
      </c>
      <c r="N8" s="25" t="s">
        <v>186</v>
      </c>
      <c r="O8" s="25">
        <v>1</v>
      </c>
      <c r="P8" s="25" t="s">
        <v>224</v>
      </c>
    </row>
    <row r="9" spans="2:16" s="74" customFormat="1" x14ac:dyDescent="0.15">
      <c r="C9" s="25">
        <v>3</v>
      </c>
      <c r="D9" s="25" t="s">
        <v>1478</v>
      </c>
      <c r="E9" s="25" t="s">
        <v>1477</v>
      </c>
      <c r="F9" s="25" t="s">
        <v>39</v>
      </c>
      <c r="G9" s="25"/>
      <c r="H9" s="25"/>
      <c r="I9" s="25"/>
      <c r="K9" s="25">
        <v>3</v>
      </c>
      <c r="L9" s="25" t="s">
        <v>1477</v>
      </c>
      <c r="M9" s="25" t="s">
        <v>1476</v>
      </c>
      <c r="N9" s="25" t="s">
        <v>254</v>
      </c>
      <c r="O9" s="25">
        <v>0</v>
      </c>
      <c r="P9" s="25" t="s">
        <v>224</v>
      </c>
    </row>
    <row r="10" spans="2:16" s="74" customFormat="1" x14ac:dyDescent="0.15">
      <c r="C10" s="25">
        <v>4</v>
      </c>
      <c r="D10" s="25" t="s">
        <v>1475</v>
      </c>
      <c r="E10" s="25" t="s">
        <v>1474</v>
      </c>
      <c r="F10" s="25" t="s">
        <v>39</v>
      </c>
      <c r="G10" s="25"/>
      <c r="H10" s="25"/>
      <c r="I10" s="25"/>
      <c r="K10" s="25">
        <v>4</v>
      </c>
      <c r="L10" s="25" t="s">
        <v>1474</v>
      </c>
      <c r="M10" s="25" t="s">
        <v>1473</v>
      </c>
      <c r="N10" s="25" t="s">
        <v>254</v>
      </c>
      <c r="O10" s="25">
        <v>0</v>
      </c>
      <c r="P10" s="25" t="s">
        <v>224</v>
      </c>
    </row>
    <row r="11" spans="2:16" s="74" customFormat="1" x14ac:dyDescent="0.15">
      <c r="C11" s="25">
        <v>5</v>
      </c>
      <c r="D11" s="25" t="s">
        <v>1472</v>
      </c>
      <c r="E11" s="25" t="s">
        <v>1471</v>
      </c>
      <c r="F11" s="25" t="s">
        <v>39</v>
      </c>
      <c r="G11" s="25"/>
      <c r="H11" s="25"/>
      <c r="I11" s="25"/>
      <c r="K11" s="25">
        <v>5</v>
      </c>
      <c r="L11" s="25" t="s">
        <v>1471</v>
      </c>
      <c r="M11" s="25" t="s">
        <v>552</v>
      </c>
      <c r="N11" s="25" t="s">
        <v>254</v>
      </c>
      <c r="O11" s="25">
        <v>0</v>
      </c>
      <c r="P11" s="25" t="s">
        <v>224</v>
      </c>
    </row>
    <row r="12" spans="2:16" s="74" customFormat="1" x14ac:dyDescent="0.15">
      <c r="C12" s="25">
        <v>6</v>
      </c>
      <c r="D12" s="25" t="s">
        <v>1470</v>
      </c>
      <c r="E12" s="25" t="s">
        <v>1469</v>
      </c>
      <c r="F12" s="25" t="s">
        <v>39</v>
      </c>
      <c r="G12" s="25"/>
      <c r="H12" s="25"/>
      <c r="I12" s="25"/>
      <c r="K12" s="25">
        <v>6</v>
      </c>
      <c r="L12" s="25" t="s">
        <v>1469</v>
      </c>
      <c r="M12" s="25" t="s">
        <v>554</v>
      </c>
      <c r="N12" s="25" t="s">
        <v>254</v>
      </c>
      <c r="O12" s="25">
        <v>0</v>
      </c>
      <c r="P12" s="25" t="s">
        <v>224</v>
      </c>
    </row>
    <row r="13" spans="2:16" s="74" customFormat="1" x14ac:dyDescent="0.15">
      <c r="C13" s="25">
        <v>7</v>
      </c>
      <c r="D13" s="25" t="s">
        <v>1468</v>
      </c>
      <c r="E13" s="25" t="s">
        <v>1467</v>
      </c>
      <c r="F13" s="25" t="s">
        <v>39</v>
      </c>
      <c r="G13" s="25"/>
      <c r="H13" s="25"/>
      <c r="I13" s="25"/>
      <c r="K13" s="25">
        <v>7</v>
      </c>
      <c r="L13" s="25" t="s">
        <v>1467</v>
      </c>
      <c r="M13" s="25" t="s">
        <v>543</v>
      </c>
      <c r="N13" s="25" t="s">
        <v>254</v>
      </c>
      <c r="O13" s="25">
        <v>0</v>
      </c>
      <c r="P13" s="25" t="s">
        <v>224</v>
      </c>
    </row>
    <row r="14" spans="2:16" s="74" customFormat="1" x14ac:dyDescent="0.15"/>
    <row r="15" spans="2:16" s="74" customFormat="1" x14ac:dyDescent="0.15"/>
    <row r="16" spans="2:16" s="74" customFormat="1" x14ac:dyDescent="0.15"/>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0400-000000000000}"/>
  </hyperlinks>
  <pageMargins left="0.70866141732283472" right="0.70866141732283472" top="0.74803149606299213" bottom="0.74803149606299213" header="0.31496062992125984" footer="0.31496062992125984"/>
  <pageSetup paperSize="9" scale="80" fitToHeight="0" orientation="landscape"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7E87D-B979-451B-B797-1D2A3269CB65}">
  <sheetPr codeName="Sheet80">
    <pageSetUpPr fitToPage="1"/>
  </sheetPr>
  <dimension ref="B2:P709"/>
  <sheetViews>
    <sheetView view="pageBreakPreview" zoomScaleSheetLayoutView="100" workbookViewId="0"/>
  </sheetViews>
  <sheetFormatPr defaultRowHeight="13.5" x14ac:dyDescent="0.15"/>
  <cols>
    <col min="1" max="2" width="2.25" customWidth="1"/>
    <col min="3" max="3" width="4.5" customWidth="1"/>
    <col min="4" max="4" width="8.125" customWidth="1"/>
    <col min="5" max="5" width="29.625" customWidth="1"/>
    <col min="6" max="6" width="8.25" customWidth="1"/>
    <col min="7" max="7" width="5.375" customWidth="1"/>
    <col min="8" max="8" width="6" customWidth="1"/>
    <col min="9" max="9" width="65.75" hidden="1" customWidth="1"/>
    <col min="10" max="10" width="2.25" customWidth="1"/>
    <col min="11" max="11" width="4.5" customWidth="1"/>
    <col min="12" max="12" width="35.75" customWidth="1"/>
    <col min="13" max="13" width="29" customWidth="1"/>
    <col min="14" max="14" width="8" customWidth="1"/>
    <col min="15" max="15" width="9.25" customWidth="1"/>
    <col min="16" max="16" width="11.75" customWidth="1"/>
  </cols>
  <sheetData>
    <row r="2" spans="2:16" x14ac:dyDescent="0.15">
      <c r="B2" s="5" t="s">
        <v>1513</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4" customFormat="1" x14ac:dyDescent="0.15">
      <c r="C7" s="25">
        <v>1</v>
      </c>
      <c r="D7" s="57" t="s">
        <v>1483</v>
      </c>
      <c r="E7" s="25" t="s">
        <v>1482</v>
      </c>
      <c r="F7" s="25" t="s">
        <v>39</v>
      </c>
      <c r="G7" s="25"/>
      <c r="H7" s="25" t="s">
        <v>40</v>
      </c>
      <c r="I7" s="25"/>
      <c r="K7" s="25">
        <v>1</v>
      </c>
      <c r="L7" s="25" t="s">
        <v>1482</v>
      </c>
      <c r="M7" s="57" t="s">
        <v>206</v>
      </c>
      <c r="N7" s="25" t="s">
        <v>254</v>
      </c>
      <c r="O7" s="25">
        <v>1</v>
      </c>
      <c r="P7" s="25" t="s">
        <v>224</v>
      </c>
    </row>
    <row r="8" spans="2:16" s="74" customFormat="1" x14ac:dyDescent="0.15">
      <c r="C8" s="25">
        <v>2</v>
      </c>
      <c r="D8" s="25" t="s">
        <v>1512</v>
      </c>
      <c r="E8" s="25" t="s">
        <v>1511</v>
      </c>
      <c r="F8" s="25" t="s">
        <v>186</v>
      </c>
      <c r="G8" s="25"/>
      <c r="H8" s="25" t="s">
        <v>764</v>
      </c>
      <c r="I8" s="25"/>
      <c r="K8" s="25">
        <v>2</v>
      </c>
      <c r="L8" s="25" t="s">
        <v>1511</v>
      </c>
      <c r="M8" s="25" t="s">
        <v>1510</v>
      </c>
      <c r="N8" s="25" t="s">
        <v>35</v>
      </c>
      <c r="O8" s="25">
        <v>1</v>
      </c>
      <c r="P8" s="25" t="s">
        <v>224</v>
      </c>
    </row>
    <row r="9" spans="2:16" s="74" customFormat="1" x14ac:dyDescent="0.15">
      <c r="C9" s="25">
        <v>3</v>
      </c>
      <c r="D9" s="25" t="s">
        <v>1509</v>
      </c>
      <c r="E9" s="25" t="s">
        <v>1508</v>
      </c>
      <c r="F9" s="25" t="s">
        <v>186</v>
      </c>
      <c r="G9" s="25"/>
      <c r="H9" s="25"/>
      <c r="I9" s="25"/>
      <c r="K9" s="25">
        <v>3</v>
      </c>
      <c r="L9" s="25" t="s">
        <v>1508</v>
      </c>
      <c r="M9" s="25" t="s">
        <v>1507</v>
      </c>
      <c r="N9" s="25" t="s">
        <v>35</v>
      </c>
      <c r="O9" s="25">
        <v>0</v>
      </c>
      <c r="P9" s="25" t="s">
        <v>224</v>
      </c>
    </row>
    <row r="10" spans="2:16" s="74" customFormat="1" x14ac:dyDescent="0.15">
      <c r="C10" s="25">
        <v>4</v>
      </c>
      <c r="D10" s="25" t="s">
        <v>1506</v>
      </c>
      <c r="E10" s="25" t="s">
        <v>1505</v>
      </c>
      <c r="F10" s="25" t="s">
        <v>186</v>
      </c>
      <c r="G10" s="25"/>
      <c r="H10" s="25"/>
      <c r="I10" s="25"/>
      <c r="K10" s="25">
        <v>4</v>
      </c>
      <c r="L10" s="25" t="s">
        <v>1505</v>
      </c>
      <c r="M10" s="25" t="s">
        <v>1504</v>
      </c>
      <c r="N10" s="25" t="s">
        <v>35</v>
      </c>
      <c r="O10" s="25">
        <v>0</v>
      </c>
      <c r="P10" s="25" t="s">
        <v>224</v>
      </c>
    </row>
    <row r="11" spans="2:16" s="74" customFormat="1" x14ac:dyDescent="0.15">
      <c r="C11" s="25">
        <v>5</v>
      </c>
      <c r="D11" s="25" t="s">
        <v>1503</v>
      </c>
      <c r="E11" s="25" t="s">
        <v>1502</v>
      </c>
      <c r="F11" s="25" t="s">
        <v>186</v>
      </c>
      <c r="G11" s="25"/>
      <c r="H11" s="25"/>
      <c r="I11" s="25"/>
      <c r="K11" s="25">
        <v>5</v>
      </c>
      <c r="L11" s="25" t="s">
        <v>1502</v>
      </c>
      <c r="M11" s="25" t="s">
        <v>1501</v>
      </c>
      <c r="N11" s="25" t="s">
        <v>35</v>
      </c>
      <c r="O11" s="25">
        <v>0</v>
      </c>
      <c r="P11" s="25" t="s">
        <v>224</v>
      </c>
    </row>
    <row r="12" spans="2:16" s="74" customFormat="1" x14ac:dyDescent="0.15">
      <c r="C12" s="25">
        <v>6</v>
      </c>
      <c r="D12" s="25" t="s">
        <v>1500</v>
      </c>
      <c r="E12" s="25" t="s">
        <v>1499</v>
      </c>
      <c r="F12" s="25" t="s">
        <v>186</v>
      </c>
      <c r="G12" s="25"/>
      <c r="H12" s="25" t="s">
        <v>764</v>
      </c>
      <c r="I12" s="25"/>
      <c r="K12" s="25">
        <v>6</v>
      </c>
      <c r="L12" s="25" t="s">
        <v>1499</v>
      </c>
      <c r="M12" s="25" t="s">
        <v>1498</v>
      </c>
      <c r="N12" s="25" t="s">
        <v>254</v>
      </c>
      <c r="O12" s="25">
        <v>0</v>
      </c>
      <c r="P12" s="25" t="s">
        <v>224</v>
      </c>
    </row>
    <row r="13" spans="2:16" s="74" customFormat="1" x14ac:dyDescent="0.15">
      <c r="C13" s="25">
        <v>7</v>
      </c>
      <c r="D13" s="25" t="s">
        <v>1497</v>
      </c>
      <c r="E13" s="25" t="s">
        <v>1496</v>
      </c>
      <c r="F13" s="25" t="s">
        <v>186</v>
      </c>
      <c r="G13" s="25"/>
      <c r="H13" s="25"/>
      <c r="I13" s="25"/>
      <c r="K13" s="25">
        <v>7</v>
      </c>
      <c r="L13" s="25" t="s">
        <v>1496</v>
      </c>
      <c r="M13" s="25" t="s">
        <v>1495</v>
      </c>
      <c r="N13" s="25" t="s">
        <v>35</v>
      </c>
      <c r="O13" s="25">
        <v>0</v>
      </c>
      <c r="P13" s="25" t="s">
        <v>224</v>
      </c>
    </row>
    <row r="14" spans="2:16" s="74" customFormat="1" x14ac:dyDescent="0.15">
      <c r="C14" s="25">
        <v>8</v>
      </c>
      <c r="D14" s="25" t="s">
        <v>1494</v>
      </c>
      <c r="E14" s="25" t="s">
        <v>1493</v>
      </c>
      <c r="F14" s="25" t="s">
        <v>186</v>
      </c>
      <c r="G14" s="25"/>
      <c r="H14" s="25"/>
      <c r="I14" s="25"/>
      <c r="K14" s="25">
        <v>8</v>
      </c>
      <c r="L14" s="25" t="s">
        <v>1493</v>
      </c>
      <c r="M14" s="25" t="s">
        <v>1492</v>
      </c>
      <c r="N14" s="25" t="s">
        <v>35</v>
      </c>
      <c r="O14" s="25">
        <v>0</v>
      </c>
      <c r="P14" s="25" t="s">
        <v>224</v>
      </c>
    </row>
    <row r="15" spans="2:16" s="74" customFormat="1" x14ac:dyDescent="0.15">
      <c r="C15" s="25">
        <v>9</v>
      </c>
      <c r="D15" s="57" t="s">
        <v>1490</v>
      </c>
      <c r="E15" s="25" t="s">
        <v>1491</v>
      </c>
      <c r="F15" s="25" t="s">
        <v>186</v>
      </c>
      <c r="G15" s="25"/>
      <c r="H15" s="25"/>
      <c r="I15" s="25"/>
      <c r="K15" s="25">
        <v>9</v>
      </c>
      <c r="L15" s="25" t="s">
        <v>1491</v>
      </c>
      <c r="M15" s="57" t="s">
        <v>1490</v>
      </c>
      <c r="N15" s="25" t="s">
        <v>35</v>
      </c>
      <c r="O15" s="25">
        <v>0</v>
      </c>
      <c r="P15" s="25" t="s">
        <v>224</v>
      </c>
    </row>
    <row r="16" spans="2:16" s="74" customFormat="1" x14ac:dyDescent="0.15">
      <c r="C16" s="25">
        <v>10</v>
      </c>
      <c r="D16" s="25" t="s">
        <v>1488</v>
      </c>
      <c r="E16" s="25" t="s">
        <v>1489</v>
      </c>
      <c r="F16" s="25" t="s">
        <v>186</v>
      </c>
      <c r="G16" s="25"/>
      <c r="H16" s="25"/>
      <c r="I16" s="25"/>
      <c r="K16" s="25">
        <v>10</v>
      </c>
      <c r="L16" s="25" t="s">
        <v>1489</v>
      </c>
      <c r="M16" s="25" t="s">
        <v>1488</v>
      </c>
      <c r="N16" s="25" t="s">
        <v>35</v>
      </c>
      <c r="O16" s="25">
        <v>0</v>
      </c>
      <c r="P16" s="25" t="s">
        <v>224</v>
      </c>
    </row>
    <row r="17" spans="3:16" s="74" customFormat="1" x14ac:dyDescent="0.15">
      <c r="C17" s="25">
        <v>11</v>
      </c>
      <c r="D17" s="25" t="s">
        <v>1487</v>
      </c>
      <c r="E17" s="25" t="s">
        <v>1486</v>
      </c>
      <c r="F17" s="25" t="s">
        <v>186</v>
      </c>
      <c r="G17" s="25"/>
      <c r="H17" s="25"/>
      <c r="I17" s="25"/>
      <c r="K17" s="25">
        <v>11</v>
      </c>
      <c r="L17" s="25" t="s">
        <v>1486</v>
      </c>
      <c r="M17" s="25" t="s">
        <v>1485</v>
      </c>
      <c r="N17" s="25" t="s">
        <v>186</v>
      </c>
      <c r="O17" s="25">
        <v>0</v>
      </c>
      <c r="P17" s="25" t="s">
        <v>224</v>
      </c>
    </row>
    <row r="18" spans="3:16" s="74" customFormat="1" x14ac:dyDescent="0.15"/>
    <row r="19" spans="3:16" s="74" customFormat="1" x14ac:dyDescent="0.15"/>
    <row r="20" spans="3:16" s="74" customFormat="1" x14ac:dyDescent="0.15"/>
    <row r="21" spans="3:16" s="74" customFormat="1" x14ac:dyDescent="0.15"/>
    <row r="22" spans="3:16" s="74" customFormat="1" x14ac:dyDescent="0.15"/>
    <row r="23" spans="3:16" s="74" customFormat="1" x14ac:dyDescent="0.15"/>
    <row r="24" spans="3:16" s="74" customFormat="1" x14ac:dyDescent="0.15"/>
    <row r="25" spans="3:16" s="74" customFormat="1" x14ac:dyDescent="0.15"/>
    <row r="26" spans="3:16" s="74" customFormat="1" x14ac:dyDescent="0.15"/>
    <row r="27" spans="3:16" s="74" customFormat="1" x14ac:dyDescent="0.15"/>
    <row r="28" spans="3:16" s="74" customFormat="1" x14ac:dyDescent="0.15"/>
    <row r="29" spans="3:16" s="74" customFormat="1" x14ac:dyDescent="0.15"/>
    <row r="30" spans="3:16" s="74" customFormat="1" x14ac:dyDescent="0.15"/>
    <row r="31" spans="3:16" s="74" customFormat="1" x14ac:dyDescent="0.15"/>
    <row r="32" spans="3:16"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0500-000000000000}"/>
  </hyperlinks>
  <pageMargins left="0.70866141732283472" right="0.70866141732283472" top="0.74803149606299213" bottom="0.74803149606299213" header="0.31496062992125984" footer="0.31496062992125984"/>
  <pageSetup paperSize="9" scale="80" fitToHeight="0" orientation="landscape"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712BC-BC13-4E84-BC86-7EEEA37849AD}">
  <sheetPr codeName="Sheet81">
    <pageSetUpPr fitToPage="1"/>
  </sheetPr>
  <dimension ref="B2:P709"/>
  <sheetViews>
    <sheetView view="pageBreakPreview" zoomScaleSheetLayoutView="100" workbookViewId="0"/>
  </sheetViews>
  <sheetFormatPr defaultRowHeight="13.5" x14ac:dyDescent="0.15"/>
  <cols>
    <col min="1" max="2" width="2.25" customWidth="1"/>
    <col min="3" max="3" width="4.5" customWidth="1"/>
    <col min="4" max="4" width="8.125" customWidth="1"/>
    <col min="5" max="5" width="29.625" customWidth="1"/>
    <col min="6" max="6" width="8.25" customWidth="1"/>
    <col min="7" max="7" width="5.375" customWidth="1"/>
    <col min="8" max="8" width="6" customWidth="1"/>
    <col min="9" max="9" width="65.75" hidden="1" customWidth="1"/>
    <col min="10" max="10" width="2.25" customWidth="1"/>
    <col min="11" max="11" width="4.5" customWidth="1"/>
    <col min="12" max="12" width="35.75" customWidth="1"/>
    <col min="13" max="13" width="29" customWidth="1"/>
    <col min="14" max="14" width="8" customWidth="1"/>
    <col min="15" max="15" width="9.25" customWidth="1"/>
    <col min="16" max="16" width="11.75" customWidth="1"/>
  </cols>
  <sheetData>
    <row r="2" spans="2:16" x14ac:dyDescent="0.15">
      <c r="B2" s="5" t="s">
        <v>1513</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4" customFormat="1" x14ac:dyDescent="0.15">
      <c r="C7" s="25">
        <v>1</v>
      </c>
      <c r="D7" s="57" t="s">
        <v>1483</v>
      </c>
      <c r="E7" s="25" t="s">
        <v>1482</v>
      </c>
      <c r="F7" s="25" t="s">
        <v>252</v>
      </c>
      <c r="G7" s="25"/>
      <c r="H7" s="25" t="s">
        <v>40</v>
      </c>
      <c r="I7" s="25"/>
      <c r="K7" s="25">
        <v>1</v>
      </c>
      <c r="L7" s="25" t="s">
        <v>1482</v>
      </c>
      <c r="M7" s="57" t="s">
        <v>206</v>
      </c>
      <c r="N7" s="25" t="s">
        <v>252</v>
      </c>
      <c r="O7" s="25">
        <v>1</v>
      </c>
      <c r="P7" s="25" t="s">
        <v>224</v>
      </c>
    </row>
    <row r="8" spans="2:16" s="74" customFormat="1" x14ac:dyDescent="0.15">
      <c r="C8" s="25">
        <v>2</v>
      </c>
      <c r="D8" s="25" t="s">
        <v>1517</v>
      </c>
      <c r="E8" s="25" t="s">
        <v>511</v>
      </c>
      <c r="F8" s="25" t="s">
        <v>252</v>
      </c>
      <c r="G8" s="25"/>
      <c r="H8" s="25"/>
      <c r="I8" s="25"/>
      <c r="K8" s="25">
        <v>2</v>
      </c>
      <c r="L8" s="25" t="s">
        <v>511</v>
      </c>
      <c r="M8" s="25" t="s">
        <v>1517</v>
      </c>
      <c r="N8" s="25" t="s">
        <v>252</v>
      </c>
      <c r="O8" s="25">
        <v>0</v>
      </c>
      <c r="P8" s="25" t="s">
        <v>224</v>
      </c>
    </row>
    <row r="9" spans="2:16" s="74" customFormat="1" x14ac:dyDescent="0.15">
      <c r="C9" s="25">
        <v>3</v>
      </c>
      <c r="D9" s="25" t="s">
        <v>1516</v>
      </c>
      <c r="E9" s="25" t="s">
        <v>513</v>
      </c>
      <c r="F9" s="25" t="s">
        <v>186</v>
      </c>
      <c r="G9" s="25"/>
      <c r="H9" s="25" t="s">
        <v>40</v>
      </c>
      <c r="I9" s="25"/>
      <c r="K9" s="25">
        <v>3</v>
      </c>
      <c r="L9" s="25" t="s">
        <v>513</v>
      </c>
      <c r="M9" s="25" t="s">
        <v>1516</v>
      </c>
      <c r="N9" s="25" t="s">
        <v>186</v>
      </c>
      <c r="O9" s="25">
        <v>0</v>
      </c>
      <c r="P9" s="25" t="s">
        <v>224</v>
      </c>
    </row>
    <row r="10" spans="2:16" s="74" customFormat="1" x14ac:dyDescent="0.15">
      <c r="C10" s="25">
        <v>4</v>
      </c>
      <c r="D10" s="25" t="s">
        <v>1464</v>
      </c>
      <c r="E10" s="25" t="s">
        <v>515</v>
      </c>
      <c r="F10" s="25" t="s">
        <v>862</v>
      </c>
      <c r="G10" s="25"/>
      <c r="H10" s="25" t="s">
        <v>40</v>
      </c>
      <c r="I10" s="25"/>
      <c r="K10" s="25">
        <v>4</v>
      </c>
      <c r="L10" s="25" t="s">
        <v>515</v>
      </c>
      <c r="M10" s="25" t="s">
        <v>1464</v>
      </c>
      <c r="N10" s="25" t="s">
        <v>862</v>
      </c>
      <c r="O10" s="25">
        <v>0</v>
      </c>
      <c r="P10" s="25" t="s">
        <v>224</v>
      </c>
    </row>
    <row r="11" spans="2:16" s="74" customFormat="1" x14ac:dyDescent="0.15">
      <c r="C11" s="25">
        <v>5</v>
      </c>
      <c r="D11" s="25" t="s">
        <v>1514</v>
      </c>
      <c r="E11" s="25" t="s">
        <v>1515</v>
      </c>
      <c r="F11" s="25" t="s">
        <v>186</v>
      </c>
      <c r="G11" s="25"/>
      <c r="H11" s="25" t="s">
        <v>40</v>
      </c>
      <c r="I11" s="25"/>
      <c r="K11" s="25">
        <v>4</v>
      </c>
      <c r="L11" s="25" t="s">
        <v>1515</v>
      </c>
      <c r="M11" s="25" t="s">
        <v>1514</v>
      </c>
      <c r="N11" s="25" t="s">
        <v>186</v>
      </c>
      <c r="O11" s="25">
        <v>0</v>
      </c>
      <c r="P11" s="25" t="s">
        <v>224</v>
      </c>
    </row>
    <row r="12" spans="2:16" s="74" customFormat="1" x14ac:dyDescent="0.15"/>
    <row r="13" spans="2:16" s="74" customFormat="1" x14ac:dyDescent="0.15"/>
    <row r="14" spans="2:16" s="74" customFormat="1" x14ac:dyDescent="0.15"/>
    <row r="15" spans="2:16" s="74" customFormat="1" x14ac:dyDescent="0.15"/>
    <row r="16" spans="2:16" s="74" customFormat="1" x14ac:dyDescent="0.15"/>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0600-000000000000}"/>
  </hyperlinks>
  <pageMargins left="0.70866141732283472" right="0.70866141732283472" top="0.74803149606299213" bottom="0.74803149606299213" header="0.31496062992125984" footer="0.31496062992125984"/>
  <pageSetup paperSize="9" scale="80" fitToHeight="0" orientation="landscape"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B2:P709"/>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7.3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テーブルマッピング!E29</f>
        <v>取引先科目残高</v>
      </c>
      <c r="D2" s="2"/>
      <c r="E2" s="2"/>
    </row>
    <row r="3" spans="2:16" x14ac:dyDescent="0.15">
      <c r="C3" s="8" t="s">
        <v>172</v>
      </c>
      <c r="D3" s="2"/>
      <c r="E3" s="2"/>
    </row>
    <row r="4" spans="2:16" x14ac:dyDescent="0.15">
      <c r="C4" s="8"/>
      <c r="D4" s="2"/>
      <c r="E4" s="2"/>
    </row>
    <row r="5" spans="2:16" x14ac:dyDescent="0.15">
      <c r="C5" s="13"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4" customFormat="1" x14ac:dyDescent="0.15">
      <c r="C7" s="25">
        <v>2</v>
      </c>
      <c r="D7" s="25" t="s">
        <v>133</v>
      </c>
      <c r="E7" s="25" t="s">
        <v>134</v>
      </c>
      <c r="F7" s="25" t="s">
        <v>39</v>
      </c>
      <c r="G7" s="25">
        <v>12</v>
      </c>
      <c r="H7" s="25" t="s">
        <v>40</v>
      </c>
      <c r="I7" s="25"/>
      <c r="K7" s="25">
        <v>1</v>
      </c>
      <c r="L7" s="25" t="s">
        <v>230</v>
      </c>
      <c r="M7" s="25" t="s">
        <v>231</v>
      </c>
      <c r="N7" s="25" t="s">
        <v>254</v>
      </c>
      <c r="O7" s="25">
        <v>1</v>
      </c>
      <c r="P7" s="25" t="s">
        <v>225</v>
      </c>
    </row>
    <row r="8" spans="2:16" s="74" customFormat="1" x14ac:dyDescent="0.15">
      <c r="C8" s="25">
        <v>6</v>
      </c>
      <c r="D8" s="25" t="s">
        <v>41</v>
      </c>
      <c r="E8" s="25" t="s">
        <v>42</v>
      </c>
      <c r="F8" s="25" t="s">
        <v>39</v>
      </c>
      <c r="G8" s="25">
        <v>8</v>
      </c>
      <c r="H8" s="25" t="s">
        <v>40</v>
      </c>
      <c r="I8" s="25"/>
      <c r="K8" s="25">
        <v>2</v>
      </c>
      <c r="L8" s="25" t="s">
        <v>42</v>
      </c>
      <c r="M8" s="25" t="s">
        <v>188</v>
      </c>
      <c r="N8" s="25" t="s">
        <v>254</v>
      </c>
      <c r="O8" s="25">
        <v>1</v>
      </c>
      <c r="P8" s="25" t="s">
        <v>225</v>
      </c>
    </row>
    <row r="9" spans="2:16" s="74" customFormat="1" x14ac:dyDescent="0.15">
      <c r="C9" s="25">
        <v>1</v>
      </c>
      <c r="D9" s="25" t="s">
        <v>33</v>
      </c>
      <c r="E9" s="25" t="s">
        <v>34</v>
      </c>
      <c r="F9" s="25" t="s">
        <v>35</v>
      </c>
      <c r="G9" s="25"/>
      <c r="H9" s="25"/>
      <c r="I9" s="25" t="s">
        <v>36</v>
      </c>
      <c r="K9" s="25">
        <v>3</v>
      </c>
      <c r="L9" s="25" t="s">
        <v>34</v>
      </c>
      <c r="M9" s="25" t="s">
        <v>187</v>
      </c>
      <c r="N9" s="25" t="s">
        <v>35</v>
      </c>
      <c r="O9" s="25">
        <v>0</v>
      </c>
      <c r="P9" s="25"/>
    </row>
    <row r="10" spans="2:16" s="74" customFormat="1" x14ac:dyDescent="0.15">
      <c r="C10" s="25">
        <v>3</v>
      </c>
      <c r="D10" s="25" t="s">
        <v>37</v>
      </c>
      <c r="E10" s="25" t="s">
        <v>38</v>
      </c>
      <c r="F10" s="25" t="s">
        <v>39</v>
      </c>
      <c r="G10" s="25">
        <v>15</v>
      </c>
      <c r="H10" s="25" t="s">
        <v>40</v>
      </c>
      <c r="I10" s="25"/>
      <c r="K10" s="25">
        <v>4</v>
      </c>
      <c r="L10" s="25" t="s">
        <v>38</v>
      </c>
      <c r="M10" s="25" t="s">
        <v>191</v>
      </c>
      <c r="N10" s="25" t="s">
        <v>254</v>
      </c>
      <c r="O10" s="25">
        <v>0</v>
      </c>
      <c r="P10" s="25" t="s">
        <v>225</v>
      </c>
    </row>
    <row r="11" spans="2:16" s="74" customFormat="1" x14ac:dyDescent="0.15">
      <c r="C11" s="25">
        <v>4</v>
      </c>
      <c r="D11" s="25" t="s">
        <v>135</v>
      </c>
      <c r="E11" s="25" t="s">
        <v>136</v>
      </c>
      <c r="F11" s="25" t="s">
        <v>39</v>
      </c>
      <c r="G11" s="25">
        <v>20</v>
      </c>
      <c r="H11" s="25"/>
      <c r="I11" s="25"/>
      <c r="K11" s="25">
        <v>5</v>
      </c>
      <c r="L11" s="25" t="s">
        <v>207</v>
      </c>
      <c r="M11" s="25" t="s">
        <v>208</v>
      </c>
      <c r="N11" s="25" t="s">
        <v>254</v>
      </c>
      <c r="O11" s="25">
        <v>0</v>
      </c>
      <c r="P11" s="25" t="s">
        <v>225</v>
      </c>
    </row>
    <row r="12" spans="2:16" s="74" customFormat="1" x14ac:dyDescent="0.15">
      <c r="C12" s="25">
        <v>5</v>
      </c>
      <c r="D12" s="25" t="s">
        <v>137</v>
      </c>
      <c r="E12" s="25" t="s">
        <v>138</v>
      </c>
      <c r="F12" s="25" t="s">
        <v>39</v>
      </c>
      <c r="G12" s="25">
        <v>60</v>
      </c>
      <c r="H12" s="25"/>
      <c r="I12" s="25"/>
      <c r="K12" s="25">
        <v>6</v>
      </c>
      <c r="L12" s="25" t="s">
        <v>209</v>
      </c>
      <c r="M12" s="25" t="s">
        <v>210</v>
      </c>
      <c r="N12" s="25" t="s">
        <v>254</v>
      </c>
      <c r="O12" s="25">
        <v>0</v>
      </c>
      <c r="P12" s="25" t="s">
        <v>225</v>
      </c>
    </row>
    <row r="13" spans="2:16" s="74" customFormat="1" x14ac:dyDescent="0.15">
      <c r="C13" s="25">
        <v>7</v>
      </c>
      <c r="D13" s="25" t="s">
        <v>48</v>
      </c>
      <c r="E13" s="25" t="s">
        <v>49</v>
      </c>
      <c r="F13" s="25" t="s">
        <v>35</v>
      </c>
      <c r="G13" s="25"/>
      <c r="H13" s="25"/>
      <c r="I13" s="25"/>
      <c r="K13" s="25">
        <v>7</v>
      </c>
      <c r="L13" s="25" t="s">
        <v>198</v>
      </c>
      <c r="M13" s="25" t="s">
        <v>199</v>
      </c>
      <c r="N13" s="25" t="s">
        <v>35</v>
      </c>
      <c r="O13" s="25">
        <v>0</v>
      </c>
      <c r="P13" s="25"/>
    </row>
    <row r="14" spans="2:16" s="74" customFormat="1" x14ac:dyDescent="0.15">
      <c r="C14" s="25">
        <v>8</v>
      </c>
      <c r="D14" s="25" t="s">
        <v>43</v>
      </c>
      <c r="E14" s="25" t="s">
        <v>44</v>
      </c>
      <c r="F14" s="25" t="s">
        <v>39</v>
      </c>
      <c r="G14" s="25">
        <v>22</v>
      </c>
      <c r="H14" s="25"/>
      <c r="I14" s="25"/>
      <c r="K14" s="25">
        <v>8</v>
      </c>
      <c r="L14" s="25" t="s">
        <v>192</v>
      </c>
      <c r="M14" s="25" t="s">
        <v>193</v>
      </c>
      <c r="N14" s="25" t="s">
        <v>254</v>
      </c>
      <c r="O14" s="25">
        <v>0</v>
      </c>
      <c r="P14" s="25" t="s">
        <v>225</v>
      </c>
    </row>
    <row r="15" spans="2:16" s="74" customFormat="1" x14ac:dyDescent="0.15">
      <c r="C15" s="25">
        <v>9</v>
      </c>
      <c r="D15" s="25" t="s">
        <v>45</v>
      </c>
      <c r="E15" s="25" t="s">
        <v>46</v>
      </c>
      <c r="F15" s="25" t="s">
        <v>39</v>
      </c>
      <c r="G15" s="25">
        <v>40</v>
      </c>
      <c r="H15" s="25"/>
      <c r="I15" s="25"/>
      <c r="K15" s="25">
        <v>9</v>
      </c>
      <c r="L15" s="25" t="s">
        <v>194</v>
      </c>
      <c r="M15" s="25" t="s">
        <v>195</v>
      </c>
      <c r="N15" s="25" t="s">
        <v>254</v>
      </c>
      <c r="O15" s="25">
        <v>0</v>
      </c>
      <c r="P15" s="25" t="s">
        <v>225</v>
      </c>
    </row>
    <row r="16" spans="2:16" s="74" customFormat="1" x14ac:dyDescent="0.15">
      <c r="C16" s="25">
        <v>10</v>
      </c>
      <c r="D16" s="25" t="s">
        <v>50</v>
      </c>
      <c r="E16" s="25" t="s">
        <v>51</v>
      </c>
      <c r="F16" s="25" t="s">
        <v>35</v>
      </c>
      <c r="G16" s="25"/>
      <c r="H16" s="25" t="s">
        <v>40</v>
      </c>
      <c r="I16" s="25" t="s">
        <v>52</v>
      </c>
      <c r="K16" s="25">
        <v>10</v>
      </c>
      <c r="L16" s="25" t="s">
        <v>51</v>
      </c>
      <c r="M16" s="25" t="s">
        <v>200</v>
      </c>
      <c r="N16" s="25" t="s">
        <v>35</v>
      </c>
      <c r="O16" s="25">
        <v>0</v>
      </c>
      <c r="P16" s="25" t="s">
        <v>225</v>
      </c>
    </row>
    <row r="17" spans="3:16" s="74" customFormat="1" x14ac:dyDescent="0.15">
      <c r="C17" s="25">
        <v>11</v>
      </c>
      <c r="D17" s="25" t="s">
        <v>156</v>
      </c>
      <c r="E17" s="25" t="s">
        <v>157</v>
      </c>
      <c r="F17" s="25" t="s">
        <v>158</v>
      </c>
      <c r="G17" s="25" t="s">
        <v>159</v>
      </c>
      <c r="H17" s="25" t="s">
        <v>40</v>
      </c>
      <c r="I17" s="25"/>
      <c r="K17" s="25">
        <v>11</v>
      </c>
      <c r="L17" s="25" t="s">
        <v>157</v>
      </c>
      <c r="M17" s="25" t="s">
        <v>201</v>
      </c>
      <c r="N17" s="25" t="s">
        <v>253</v>
      </c>
      <c r="O17" s="25">
        <v>0</v>
      </c>
      <c r="P17" s="25" t="s">
        <v>225</v>
      </c>
    </row>
    <row r="18" spans="3:16" s="74" customFormat="1" x14ac:dyDescent="0.15"/>
    <row r="19" spans="3:16" s="74" customFormat="1" x14ac:dyDescent="0.15"/>
    <row r="20" spans="3:16" s="74" customFormat="1" x14ac:dyDescent="0.15"/>
    <row r="21" spans="3:16" s="74" customFormat="1" x14ac:dyDescent="0.15"/>
    <row r="22" spans="3:16" s="74" customFormat="1" x14ac:dyDescent="0.15"/>
    <row r="23" spans="3:16" s="74" customFormat="1" x14ac:dyDescent="0.15"/>
    <row r="24" spans="3:16" s="74" customFormat="1" x14ac:dyDescent="0.15"/>
    <row r="25" spans="3:16" s="74" customFormat="1" x14ac:dyDescent="0.15"/>
    <row r="26" spans="3:16" s="74" customFormat="1" x14ac:dyDescent="0.15"/>
    <row r="27" spans="3:16" s="74" customFormat="1" x14ac:dyDescent="0.15"/>
    <row r="28" spans="3:16" s="74" customFormat="1" x14ac:dyDescent="0.15"/>
    <row r="29" spans="3:16" s="74" customFormat="1" x14ac:dyDescent="0.15"/>
    <row r="30" spans="3:16" s="74" customFormat="1" x14ac:dyDescent="0.15"/>
    <row r="31" spans="3:16" s="74" customFormat="1" x14ac:dyDescent="0.15"/>
    <row r="32" spans="3:16"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09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ECE26-8DAB-4E7D-B937-507F6A9FB1F2}">
  <sheetPr codeName="Sheet78">
    <pageSetUpPr fitToPage="1"/>
  </sheetPr>
  <dimension ref="B2:P709"/>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29.625" customWidth="1"/>
    <col min="6" max="6" width="8.25" bestFit="1" customWidth="1"/>
    <col min="7" max="7" width="5.375" bestFit="1" customWidth="1"/>
    <col min="8" max="8" width="6" bestFit="1" customWidth="1"/>
    <col min="9" max="9" width="65.75" hidden="1" customWidth="1"/>
    <col min="10" max="10" width="2.25" customWidth="1"/>
    <col min="11" max="11" width="4.5" bestFit="1" customWidth="1"/>
    <col min="12" max="12" width="35.75" bestFit="1" customWidth="1"/>
    <col min="13" max="13" width="29" customWidth="1"/>
    <col min="14" max="14" width="8" bestFit="1" customWidth="1"/>
    <col min="15" max="15" width="9.25" bestFit="1" customWidth="1"/>
    <col min="16" max="16" width="11.75" bestFit="1" customWidth="1"/>
  </cols>
  <sheetData>
    <row r="2" spans="2:16" x14ac:dyDescent="0.15">
      <c r="B2" s="5" t="s">
        <v>1561</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4" customFormat="1" x14ac:dyDescent="0.15">
      <c r="C7" s="25">
        <v>1</v>
      </c>
      <c r="D7" s="25" t="s">
        <v>1206</v>
      </c>
      <c r="E7" s="25" t="s">
        <v>1205</v>
      </c>
      <c r="F7" s="25" t="s">
        <v>39</v>
      </c>
      <c r="G7" s="25">
        <v>8</v>
      </c>
      <c r="H7" s="25" t="s">
        <v>40</v>
      </c>
      <c r="I7" s="25"/>
      <c r="K7" s="25">
        <v>1</v>
      </c>
      <c r="L7" s="25" t="s">
        <v>1205</v>
      </c>
      <c r="M7" s="25" t="s">
        <v>1204</v>
      </c>
      <c r="N7" s="25" t="s">
        <v>254</v>
      </c>
      <c r="O7" s="25">
        <v>1</v>
      </c>
      <c r="P7" s="25" t="s">
        <v>224</v>
      </c>
    </row>
    <row r="8" spans="2:16" s="74" customFormat="1" x14ac:dyDescent="0.15">
      <c r="C8" s="25">
        <v>2</v>
      </c>
      <c r="D8" s="25" t="s">
        <v>1203</v>
      </c>
      <c r="E8" s="25" t="s">
        <v>1202</v>
      </c>
      <c r="F8" s="25" t="s">
        <v>39</v>
      </c>
      <c r="G8" s="25">
        <v>20</v>
      </c>
      <c r="H8" s="25"/>
      <c r="I8" s="25"/>
      <c r="K8" s="25">
        <v>2</v>
      </c>
      <c r="L8" s="25" t="s">
        <v>1201</v>
      </c>
      <c r="M8" s="25" t="s">
        <v>1200</v>
      </c>
      <c r="N8" s="25" t="s">
        <v>254</v>
      </c>
      <c r="O8" s="25">
        <v>0</v>
      </c>
      <c r="P8" s="25" t="s">
        <v>224</v>
      </c>
    </row>
    <row r="9" spans="2:16" s="74" customFormat="1" x14ac:dyDescent="0.15">
      <c r="C9" s="25">
        <v>3</v>
      </c>
      <c r="D9" s="25" t="s">
        <v>1199</v>
      </c>
      <c r="E9" s="25" t="s">
        <v>1198</v>
      </c>
      <c r="F9" s="25" t="s">
        <v>39</v>
      </c>
      <c r="G9" s="25">
        <v>60</v>
      </c>
      <c r="H9" s="25"/>
      <c r="I9" s="25"/>
      <c r="K9" s="25">
        <v>3</v>
      </c>
      <c r="L9" s="25" t="s">
        <v>1197</v>
      </c>
      <c r="M9" s="25" t="s">
        <v>1196</v>
      </c>
      <c r="N9" s="25" t="s">
        <v>254</v>
      </c>
      <c r="O9" s="25">
        <v>0</v>
      </c>
      <c r="P9" s="25" t="s">
        <v>224</v>
      </c>
    </row>
    <row r="10" spans="2:16" s="74" customFormat="1" x14ac:dyDescent="0.15"/>
    <row r="11" spans="2:16" s="74" customFormat="1" x14ac:dyDescent="0.15"/>
    <row r="12" spans="2:16" s="74" customFormat="1" x14ac:dyDescent="0.15"/>
    <row r="13" spans="2:16" s="74" customFormat="1" x14ac:dyDescent="0.15"/>
    <row r="14" spans="2:16" s="74" customFormat="1" x14ac:dyDescent="0.15"/>
    <row r="15" spans="2:16" s="74" customFormat="1" x14ac:dyDescent="0.15"/>
    <row r="16" spans="2:16" s="74" customFormat="1" x14ac:dyDescent="0.15"/>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168A5E7C-B338-428A-9381-AAB023B78D36}"/>
  </hyperlinks>
  <pageMargins left="0.70866141732283472" right="0.70866141732283472" top="0.74803149606299213" bottom="0.74803149606299213" header="0.31496062992125984" footer="0.31496062992125984"/>
  <pageSetup paperSize="9" scale="80" fitToHeight="0" orientation="landscape"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E376-973F-4BB3-AD00-C8C7E9B66712}">
  <sheetPr codeName="Sheet6">
    <pageSetUpPr fitToPage="1"/>
  </sheetPr>
  <dimension ref="B2:P709"/>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1562</v>
      </c>
      <c r="D2" s="2"/>
      <c r="E2" s="2"/>
    </row>
    <row r="3" spans="2:16" x14ac:dyDescent="0.15">
      <c r="B3" s="8"/>
      <c r="C3" s="8" t="s">
        <v>172</v>
      </c>
      <c r="D3" s="2"/>
      <c r="E3" s="2"/>
    </row>
    <row r="4" spans="2:16" x14ac:dyDescent="0.15">
      <c r="B4" s="8"/>
      <c r="C4" s="8"/>
      <c r="D4" s="2"/>
      <c r="E4" s="2"/>
    </row>
    <row r="5" spans="2:16" x14ac:dyDescent="0.15">
      <c r="B5" s="8"/>
      <c r="C5" s="12" t="s">
        <v>4</v>
      </c>
      <c r="D5" s="6"/>
      <c r="E5" s="2"/>
      <c r="H5" s="19"/>
      <c r="K5" s="5"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4" customFormat="1" x14ac:dyDescent="0.15">
      <c r="C7" s="25">
        <v>2</v>
      </c>
      <c r="D7" s="25" t="s">
        <v>1206</v>
      </c>
      <c r="E7" s="25" t="s">
        <v>1205</v>
      </c>
      <c r="F7" s="25" t="s">
        <v>39</v>
      </c>
      <c r="G7" s="25">
        <v>8</v>
      </c>
      <c r="H7" s="25" t="s">
        <v>40</v>
      </c>
      <c r="I7" s="25"/>
      <c r="K7" s="25">
        <v>1</v>
      </c>
      <c r="L7" s="25" t="s">
        <v>1205</v>
      </c>
      <c r="M7" s="25" t="s">
        <v>1207</v>
      </c>
      <c r="N7" s="25" t="s">
        <v>254</v>
      </c>
      <c r="O7" s="25">
        <v>1</v>
      </c>
      <c r="P7" s="25" t="s">
        <v>224</v>
      </c>
    </row>
    <row r="8" spans="2:16" s="74" customFormat="1" x14ac:dyDescent="0.15">
      <c r="C8" s="25">
        <v>6</v>
      </c>
      <c r="D8" s="25" t="s">
        <v>41</v>
      </c>
      <c r="E8" s="25" t="s">
        <v>42</v>
      </c>
      <c r="F8" s="25" t="s">
        <v>39</v>
      </c>
      <c r="G8" s="25">
        <v>8</v>
      </c>
      <c r="H8" s="25" t="s">
        <v>40</v>
      </c>
      <c r="I8" s="25"/>
      <c r="K8" s="25">
        <v>2</v>
      </c>
      <c r="L8" s="25" t="s">
        <v>42</v>
      </c>
      <c r="M8" s="25" t="s">
        <v>188</v>
      </c>
      <c r="N8" s="25" t="s">
        <v>254</v>
      </c>
      <c r="O8" s="25">
        <v>1</v>
      </c>
      <c r="P8" s="25" t="s">
        <v>224</v>
      </c>
    </row>
    <row r="9" spans="2:16" s="74" customFormat="1" x14ac:dyDescent="0.15">
      <c r="C9" s="25">
        <v>1</v>
      </c>
      <c r="D9" s="25" t="s">
        <v>33</v>
      </c>
      <c r="E9" s="25" t="s">
        <v>34</v>
      </c>
      <c r="F9" s="25" t="s">
        <v>35</v>
      </c>
      <c r="G9" s="25"/>
      <c r="H9" s="25"/>
      <c r="I9" s="25" t="s">
        <v>36</v>
      </c>
      <c r="K9" s="25">
        <v>3</v>
      </c>
      <c r="L9" s="25" t="s">
        <v>34</v>
      </c>
      <c r="M9" s="25" t="s">
        <v>187</v>
      </c>
      <c r="N9" s="25" t="s">
        <v>35</v>
      </c>
      <c r="O9" s="25">
        <v>0</v>
      </c>
      <c r="P9" s="25"/>
    </row>
    <row r="10" spans="2:16" s="74" customFormat="1" x14ac:dyDescent="0.15">
      <c r="C10" s="25">
        <v>3</v>
      </c>
      <c r="D10" s="25" t="s">
        <v>37</v>
      </c>
      <c r="E10" s="25" t="s">
        <v>38</v>
      </c>
      <c r="F10" s="25" t="s">
        <v>39</v>
      </c>
      <c r="G10" s="25">
        <v>15</v>
      </c>
      <c r="H10" s="25" t="s">
        <v>40</v>
      </c>
      <c r="I10" s="25"/>
      <c r="K10" s="25">
        <v>4</v>
      </c>
      <c r="L10" s="25" t="s">
        <v>38</v>
      </c>
      <c r="M10" s="25" t="s">
        <v>191</v>
      </c>
      <c r="N10" s="25" t="s">
        <v>254</v>
      </c>
      <c r="O10" s="25">
        <v>0</v>
      </c>
      <c r="P10" s="25" t="s">
        <v>224</v>
      </c>
    </row>
    <row r="11" spans="2:16" s="74" customFormat="1" x14ac:dyDescent="0.15">
      <c r="C11" s="25">
        <v>4</v>
      </c>
      <c r="D11" s="25" t="s">
        <v>1203</v>
      </c>
      <c r="E11" s="25" t="s">
        <v>1202</v>
      </c>
      <c r="F11" s="25" t="s">
        <v>39</v>
      </c>
      <c r="G11" s="25">
        <v>20</v>
      </c>
      <c r="H11" s="25"/>
      <c r="I11" s="25"/>
      <c r="K11" s="25">
        <v>5</v>
      </c>
      <c r="L11" s="25" t="s">
        <v>1201</v>
      </c>
      <c r="M11" s="25" t="s">
        <v>1200</v>
      </c>
      <c r="N11" s="25" t="s">
        <v>254</v>
      </c>
      <c r="O11" s="25">
        <v>0</v>
      </c>
      <c r="P11" s="25" t="s">
        <v>224</v>
      </c>
    </row>
    <row r="12" spans="2:16" s="74" customFormat="1" x14ac:dyDescent="0.15">
      <c r="C12" s="25">
        <v>5</v>
      </c>
      <c r="D12" s="25" t="s">
        <v>1199</v>
      </c>
      <c r="E12" s="25" t="s">
        <v>1198</v>
      </c>
      <c r="F12" s="25" t="s">
        <v>39</v>
      </c>
      <c r="G12" s="25">
        <v>60</v>
      </c>
      <c r="H12" s="25"/>
      <c r="I12" s="25"/>
      <c r="K12" s="25">
        <v>6</v>
      </c>
      <c r="L12" s="25" t="s">
        <v>1197</v>
      </c>
      <c r="M12" s="25" t="s">
        <v>1196</v>
      </c>
      <c r="N12" s="25" t="s">
        <v>254</v>
      </c>
      <c r="O12" s="25">
        <v>0</v>
      </c>
      <c r="P12" s="25" t="s">
        <v>224</v>
      </c>
    </row>
    <row r="13" spans="2:16" s="74" customFormat="1" x14ac:dyDescent="0.15">
      <c r="C13" s="25">
        <v>7</v>
      </c>
      <c r="D13" s="25" t="s">
        <v>48</v>
      </c>
      <c r="E13" s="25" t="s">
        <v>49</v>
      </c>
      <c r="F13" s="25" t="s">
        <v>35</v>
      </c>
      <c r="G13" s="25"/>
      <c r="H13" s="25"/>
      <c r="I13" s="25"/>
      <c r="K13" s="25">
        <v>7</v>
      </c>
      <c r="L13" s="25" t="s">
        <v>198</v>
      </c>
      <c r="M13" s="25" t="s">
        <v>199</v>
      </c>
      <c r="N13" s="25" t="s">
        <v>35</v>
      </c>
      <c r="O13" s="25">
        <v>0</v>
      </c>
      <c r="P13" s="25"/>
    </row>
    <row r="14" spans="2:16" s="74" customFormat="1" x14ac:dyDescent="0.15">
      <c r="C14" s="25">
        <v>8</v>
      </c>
      <c r="D14" s="25" t="s">
        <v>43</v>
      </c>
      <c r="E14" s="25" t="s">
        <v>44</v>
      </c>
      <c r="F14" s="25" t="s">
        <v>39</v>
      </c>
      <c r="G14" s="25">
        <v>22</v>
      </c>
      <c r="H14" s="25"/>
      <c r="I14" s="25"/>
      <c r="K14" s="25">
        <v>8</v>
      </c>
      <c r="L14" s="25" t="s">
        <v>192</v>
      </c>
      <c r="M14" s="25" t="s">
        <v>193</v>
      </c>
      <c r="N14" s="25" t="s">
        <v>254</v>
      </c>
      <c r="O14" s="25">
        <v>0</v>
      </c>
      <c r="P14" s="25" t="s">
        <v>224</v>
      </c>
    </row>
    <row r="15" spans="2:16" s="74" customFormat="1" x14ac:dyDescent="0.15">
      <c r="C15" s="25">
        <v>9</v>
      </c>
      <c r="D15" s="25" t="s">
        <v>45</v>
      </c>
      <c r="E15" s="25" t="s">
        <v>46</v>
      </c>
      <c r="F15" s="25" t="s">
        <v>39</v>
      </c>
      <c r="G15" s="25">
        <v>40</v>
      </c>
      <c r="H15" s="25"/>
      <c r="I15" s="25"/>
      <c r="K15" s="25">
        <v>9</v>
      </c>
      <c r="L15" s="25" t="s">
        <v>194</v>
      </c>
      <c r="M15" s="25" t="s">
        <v>195</v>
      </c>
      <c r="N15" s="25" t="s">
        <v>254</v>
      </c>
      <c r="O15" s="25">
        <v>0</v>
      </c>
      <c r="P15" s="25" t="s">
        <v>224</v>
      </c>
    </row>
    <row r="16" spans="2:16" s="74" customFormat="1" x14ac:dyDescent="0.15">
      <c r="C16" s="25">
        <v>10</v>
      </c>
      <c r="D16" s="25" t="s">
        <v>50</v>
      </c>
      <c r="E16" s="25" t="s">
        <v>51</v>
      </c>
      <c r="F16" s="25" t="s">
        <v>35</v>
      </c>
      <c r="G16" s="25"/>
      <c r="H16" s="25" t="s">
        <v>40</v>
      </c>
      <c r="I16" s="25" t="s">
        <v>52</v>
      </c>
      <c r="K16" s="25">
        <v>10</v>
      </c>
      <c r="L16" s="25" t="s">
        <v>51</v>
      </c>
      <c r="M16" s="25" t="s">
        <v>200</v>
      </c>
      <c r="N16" s="25" t="s">
        <v>35</v>
      </c>
      <c r="O16" s="25">
        <v>0</v>
      </c>
      <c r="P16" s="25" t="s">
        <v>224</v>
      </c>
    </row>
    <row r="17" spans="3:16" s="74" customFormat="1" x14ac:dyDescent="0.15">
      <c r="C17" s="25">
        <v>11</v>
      </c>
      <c r="D17" s="25" t="s">
        <v>156</v>
      </c>
      <c r="E17" s="25" t="s">
        <v>157</v>
      </c>
      <c r="F17" s="25" t="s">
        <v>158</v>
      </c>
      <c r="G17" s="25" t="s">
        <v>159</v>
      </c>
      <c r="H17" s="25" t="s">
        <v>40</v>
      </c>
      <c r="I17" s="25"/>
      <c r="K17" s="25">
        <v>11</v>
      </c>
      <c r="L17" s="25" t="s">
        <v>157</v>
      </c>
      <c r="M17" s="25" t="s">
        <v>201</v>
      </c>
      <c r="N17" s="25" t="s">
        <v>253</v>
      </c>
      <c r="O17" s="25">
        <v>0</v>
      </c>
      <c r="P17" s="25" t="s">
        <v>224</v>
      </c>
    </row>
    <row r="18" spans="3:16" s="74" customFormat="1" x14ac:dyDescent="0.15"/>
    <row r="19" spans="3:16" s="74" customFormat="1" x14ac:dyDescent="0.15"/>
    <row r="20" spans="3:16" s="74" customFormat="1" x14ac:dyDescent="0.15"/>
    <row r="21" spans="3:16" s="74" customFormat="1" x14ac:dyDescent="0.15"/>
    <row r="22" spans="3:16" s="74" customFormat="1" x14ac:dyDescent="0.15"/>
    <row r="23" spans="3:16" s="74" customFormat="1" x14ac:dyDescent="0.15"/>
    <row r="24" spans="3:16" s="74" customFormat="1" x14ac:dyDescent="0.15"/>
    <row r="25" spans="3:16" s="74" customFormat="1" x14ac:dyDescent="0.15"/>
    <row r="26" spans="3:16" s="74" customFormat="1" x14ac:dyDescent="0.15"/>
    <row r="27" spans="3:16" s="74" customFormat="1" x14ac:dyDescent="0.15"/>
    <row r="28" spans="3:16" s="74" customFormat="1" x14ac:dyDescent="0.15"/>
    <row r="29" spans="3:16" s="74" customFormat="1" x14ac:dyDescent="0.15"/>
    <row r="30" spans="3:16" s="74" customFormat="1" x14ac:dyDescent="0.15"/>
    <row r="31" spans="3:16" s="74" customFormat="1" x14ac:dyDescent="0.15"/>
    <row r="32" spans="3:16"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52B34136-49A8-4370-9054-42BE4CBC67C5}"/>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pageSetUpPr fitToPage="1"/>
  </sheetPr>
  <dimension ref="B2:P709"/>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テーブルマッピング!E32</f>
        <v>ユニバーサルフィールド１一覧</v>
      </c>
      <c r="D2" s="2"/>
      <c r="E2" s="2"/>
    </row>
    <row r="3" spans="2:16" x14ac:dyDescent="0.15">
      <c r="C3" s="8" t="s">
        <v>172</v>
      </c>
      <c r="D3" s="2"/>
      <c r="E3" s="2"/>
    </row>
    <row r="4" spans="2:16" x14ac:dyDescent="0.15">
      <c r="C4" s="14"/>
      <c r="D4" s="2"/>
      <c r="E4" s="2"/>
    </row>
    <row r="5" spans="2:16" x14ac:dyDescent="0.15">
      <c r="C5" s="7"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4" customFormat="1" x14ac:dyDescent="0.15">
      <c r="C7" s="25">
        <v>2</v>
      </c>
      <c r="D7" s="25" t="s">
        <v>162</v>
      </c>
      <c r="E7" s="25" t="s">
        <v>220</v>
      </c>
      <c r="F7" s="25" t="s">
        <v>39</v>
      </c>
      <c r="G7" s="25">
        <v>20</v>
      </c>
      <c r="H7" s="25" t="s">
        <v>40</v>
      </c>
      <c r="I7" s="25"/>
      <c r="K7" s="25">
        <v>1</v>
      </c>
      <c r="L7" s="25" t="s">
        <v>220</v>
      </c>
      <c r="M7" s="25" t="s">
        <v>221</v>
      </c>
      <c r="N7" s="25" t="s">
        <v>254</v>
      </c>
      <c r="O7" s="25">
        <v>1</v>
      </c>
      <c r="P7" s="25" t="s">
        <v>224</v>
      </c>
    </row>
    <row r="8" spans="2:16" s="74" customFormat="1" x14ac:dyDescent="0.15">
      <c r="C8" s="25">
        <v>3</v>
      </c>
      <c r="D8" s="25" t="s">
        <v>163</v>
      </c>
      <c r="E8" s="25" t="s">
        <v>790</v>
      </c>
      <c r="F8" s="25" t="s">
        <v>39</v>
      </c>
      <c r="G8" s="25">
        <v>20</v>
      </c>
      <c r="H8" s="25"/>
      <c r="I8" s="25"/>
      <c r="K8" s="25">
        <v>2</v>
      </c>
      <c r="L8" s="25" t="s">
        <v>222</v>
      </c>
      <c r="M8" s="25" t="s">
        <v>223</v>
      </c>
      <c r="N8" s="25" t="s">
        <v>254</v>
      </c>
      <c r="O8" s="25">
        <v>0</v>
      </c>
      <c r="P8" s="25" t="s">
        <v>224</v>
      </c>
    </row>
    <row r="9" spans="2:16" s="74" customFormat="1" x14ac:dyDescent="0.15">
      <c r="C9" s="25">
        <v>1</v>
      </c>
      <c r="D9" s="25" t="s">
        <v>33</v>
      </c>
      <c r="E9" s="25" t="s">
        <v>34</v>
      </c>
      <c r="F9" s="25" t="s">
        <v>35</v>
      </c>
      <c r="G9" s="25"/>
      <c r="H9" s="25"/>
      <c r="I9" s="25" t="s">
        <v>36</v>
      </c>
      <c r="K9" s="25">
        <v>4</v>
      </c>
      <c r="L9" s="25" t="s">
        <v>34</v>
      </c>
      <c r="M9" s="25" t="s">
        <v>187</v>
      </c>
      <c r="N9" s="25" t="s">
        <v>35</v>
      </c>
      <c r="O9" s="25">
        <v>0</v>
      </c>
      <c r="P9" s="25"/>
    </row>
    <row r="10" spans="2:16" s="74" customFormat="1" x14ac:dyDescent="0.15"/>
    <row r="11" spans="2:16" s="74" customFormat="1" x14ac:dyDescent="0.15"/>
    <row r="12" spans="2:16" s="74" customFormat="1" x14ac:dyDescent="0.15"/>
    <row r="13" spans="2:16" s="74" customFormat="1" x14ac:dyDescent="0.15"/>
    <row r="14" spans="2:16" s="74" customFormat="1" x14ac:dyDescent="0.15"/>
    <row r="15" spans="2:16" s="74" customFormat="1" x14ac:dyDescent="0.15"/>
    <row r="16" spans="2:16" s="74" customFormat="1" x14ac:dyDescent="0.15"/>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0A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pageSetUpPr fitToPage="1"/>
  </sheetPr>
  <dimension ref="B2:P709"/>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テーブルマッピング!E33</f>
        <v>ユニバーサルフィールド１残高</v>
      </c>
      <c r="D2" s="2"/>
      <c r="E2" s="2"/>
    </row>
    <row r="3" spans="2:16" x14ac:dyDescent="0.15">
      <c r="C3" s="8" t="s">
        <v>172</v>
      </c>
      <c r="D3" s="2"/>
      <c r="E3" s="2"/>
    </row>
    <row r="4" spans="2:16" x14ac:dyDescent="0.15">
      <c r="C4" s="8"/>
      <c r="D4" s="2"/>
      <c r="E4" s="2"/>
    </row>
    <row r="5" spans="2:16" x14ac:dyDescent="0.15">
      <c r="C5" s="13"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4" customFormat="1" x14ac:dyDescent="0.15">
      <c r="C7" s="25">
        <v>2</v>
      </c>
      <c r="D7" s="25" t="s">
        <v>162</v>
      </c>
      <c r="E7" s="25" t="s">
        <v>220</v>
      </c>
      <c r="F7" s="25" t="s">
        <v>39</v>
      </c>
      <c r="G7" s="25">
        <v>8</v>
      </c>
      <c r="H7" s="25" t="s">
        <v>40</v>
      </c>
      <c r="I7" s="25"/>
      <c r="K7" s="25">
        <v>1</v>
      </c>
      <c r="L7" s="25" t="s">
        <v>220</v>
      </c>
      <c r="M7" s="25" t="s">
        <v>221</v>
      </c>
      <c r="N7" s="25" t="s">
        <v>254</v>
      </c>
      <c r="O7" s="25">
        <v>1</v>
      </c>
      <c r="P7" s="25" t="s">
        <v>225</v>
      </c>
    </row>
    <row r="8" spans="2:16" s="74" customFormat="1" x14ac:dyDescent="0.15">
      <c r="C8" s="25">
        <v>6</v>
      </c>
      <c r="D8" s="25" t="s">
        <v>41</v>
      </c>
      <c r="E8" s="25" t="s">
        <v>42</v>
      </c>
      <c r="F8" s="25" t="s">
        <v>39</v>
      </c>
      <c r="G8" s="25">
        <v>8</v>
      </c>
      <c r="H8" s="25" t="s">
        <v>40</v>
      </c>
      <c r="I8" s="25"/>
      <c r="K8" s="25">
        <v>2</v>
      </c>
      <c r="L8" s="25" t="s">
        <v>42</v>
      </c>
      <c r="M8" s="25" t="s">
        <v>188</v>
      </c>
      <c r="N8" s="25" t="s">
        <v>254</v>
      </c>
      <c r="O8" s="25">
        <v>1</v>
      </c>
      <c r="P8" s="25" t="s">
        <v>225</v>
      </c>
    </row>
    <row r="9" spans="2:16" s="74" customFormat="1" x14ac:dyDescent="0.15">
      <c r="C9" s="25">
        <v>1</v>
      </c>
      <c r="D9" s="25" t="s">
        <v>33</v>
      </c>
      <c r="E9" s="25" t="s">
        <v>34</v>
      </c>
      <c r="F9" s="25" t="s">
        <v>35</v>
      </c>
      <c r="G9" s="25"/>
      <c r="H9" s="25"/>
      <c r="I9" s="25" t="s">
        <v>36</v>
      </c>
      <c r="K9" s="25">
        <v>3</v>
      </c>
      <c r="L9" s="25" t="s">
        <v>34</v>
      </c>
      <c r="M9" s="25" t="s">
        <v>187</v>
      </c>
      <c r="N9" s="25" t="s">
        <v>35</v>
      </c>
      <c r="O9" s="25">
        <v>0</v>
      </c>
      <c r="P9" s="25"/>
    </row>
    <row r="10" spans="2:16" s="74" customFormat="1" x14ac:dyDescent="0.15">
      <c r="C10" s="25">
        <v>3</v>
      </c>
      <c r="D10" s="25" t="s">
        <v>37</v>
      </c>
      <c r="E10" s="25" t="s">
        <v>38</v>
      </c>
      <c r="F10" s="25" t="s">
        <v>39</v>
      </c>
      <c r="G10" s="25">
        <v>15</v>
      </c>
      <c r="H10" s="25" t="s">
        <v>40</v>
      </c>
      <c r="I10" s="25"/>
      <c r="K10" s="25">
        <v>4</v>
      </c>
      <c r="L10" s="25" t="s">
        <v>38</v>
      </c>
      <c r="M10" s="25" t="s">
        <v>191</v>
      </c>
      <c r="N10" s="25" t="s">
        <v>254</v>
      </c>
      <c r="O10" s="25">
        <v>0</v>
      </c>
      <c r="P10" s="25" t="s">
        <v>225</v>
      </c>
    </row>
    <row r="11" spans="2:16" s="74" customFormat="1" x14ac:dyDescent="0.15">
      <c r="C11" s="25">
        <v>4</v>
      </c>
      <c r="D11" s="25" t="s">
        <v>163</v>
      </c>
      <c r="E11" s="25" t="s">
        <v>791</v>
      </c>
      <c r="F11" s="25" t="s">
        <v>39</v>
      </c>
      <c r="G11" s="25">
        <v>20</v>
      </c>
      <c r="H11" s="25"/>
      <c r="I11" s="25"/>
      <c r="K11" s="25">
        <v>5</v>
      </c>
      <c r="L11" s="25" t="s">
        <v>222</v>
      </c>
      <c r="M11" s="25" t="s">
        <v>223</v>
      </c>
      <c r="N11" s="25" t="s">
        <v>254</v>
      </c>
      <c r="O11" s="25">
        <v>0</v>
      </c>
      <c r="P11" s="25" t="s">
        <v>225</v>
      </c>
    </row>
    <row r="12" spans="2:16" s="74" customFormat="1" x14ac:dyDescent="0.15">
      <c r="C12" s="25">
        <v>7</v>
      </c>
      <c r="D12" s="25" t="s">
        <v>48</v>
      </c>
      <c r="E12" s="25" t="s">
        <v>49</v>
      </c>
      <c r="F12" s="25" t="s">
        <v>35</v>
      </c>
      <c r="G12" s="25"/>
      <c r="H12" s="25"/>
      <c r="I12" s="25"/>
      <c r="K12" s="25">
        <v>7</v>
      </c>
      <c r="L12" s="25" t="s">
        <v>198</v>
      </c>
      <c r="M12" s="25" t="s">
        <v>199</v>
      </c>
      <c r="N12" s="25" t="s">
        <v>35</v>
      </c>
      <c r="O12" s="25">
        <v>0</v>
      </c>
      <c r="P12" s="25"/>
    </row>
    <row r="13" spans="2:16" s="74" customFormat="1" x14ac:dyDescent="0.15">
      <c r="C13" s="25">
        <v>8</v>
      </c>
      <c r="D13" s="25" t="s">
        <v>43</v>
      </c>
      <c r="E13" s="25" t="s">
        <v>44</v>
      </c>
      <c r="F13" s="25" t="s">
        <v>39</v>
      </c>
      <c r="G13" s="25">
        <v>22</v>
      </c>
      <c r="H13" s="25"/>
      <c r="I13" s="25"/>
      <c r="K13" s="25">
        <v>8</v>
      </c>
      <c r="L13" s="25" t="s">
        <v>192</v>
      </c>
      <c r="M13" s="25" t="s">
        <v>193</v>
      </c>
      <c r="N13" s="25" t="s">
        <v>254</v>
      </c>
      <c r="O13" s="25">
        <v>0</v>
      </c>
      <c r="P13" s="25" t="s">
        <v>224</v>
      </c>
    </row>
    <row r="14" spans="2:16" s="74" customFormat="1" x14ac:dyDescent="0.15">
      <c r="C14" s="25">
        <v>9</v>
      </c>
      <c r="D14" s="25" t="s">
        <v>45</v>
      </c>
      <c r="E14" s="25" t="s">
        <v>46</v>
      </c>
      <c r="F14" s="25" t="s">
        <v>39</v>
      </c>
      <c r="G14" s="25">
        <v>40</v>
      </c>
      <c r="H14" s="25"/>
      <c r="I14" s="25"/>
      <c r="K14" s="25">
        <v>9</v>
      </c>
      <c r="L14" s="25" t="s">
        <v>228</v>
      </c>
      <c r="M14" s="25" t="s">
        <v>227</v>
      </c>
      <c r="N14" s="25" t="s">
        <v>254</v>
      </c>
      <c r="O14" s="25">
        <v>0</v>
      </c>
      <c r="P14" s="25" t="s">
        <v>225</v>
      </c>
    </row>
    <row r="15" spans="2:16" s="74" customFormat="1" x14ac:dyDescent="0.15">
      <c r="C15" s="25">
        <v>10</v>
      </c>
      <c r="D15" s="25" t="s">
        <v>50</v>
      </c>
      <c r="E15" s="25" t="s">
        <v>51</v>
      </c>
      <c r="F15" s="25" t="s">
        <v>35</v>
      </c>
      <c r="G15" s="25"/>
      <c r="H15" s="25" t="s">
        <v>40</v>
      </c>
      <c r="I15" s="25" t="s">
        <v>52</v>
      </c>
      <c r="K15" s="25">
        <v>10</v>
      </c>
      <c r="L15" s="25" t="s">
        <v>51</v>
      </c>
      <c r="M15" s="25" t="s">
        <v>226</v>
      </c>
      <c r="N15" s="25" t="s">
        <v>186</v>
      </c>
      <c r="O15" s="25">
        <v>0</v>
      </c>
      <c r="P15" s="25" t="s">
        <v>224</v>
      </c>
    </row>
    <row r="16" spans="2:16" s="74" customFormat="1" x14ac:dyDescent="0.15">
      <c r="C16" s="25">
        <v>11</v>
      </c>
      <c r="D16" s="25" t="s">
        <v>156</v>
      </c>
      <c r="E16" s="25" t="s">
        <v>157</v>
      </c>
      <c r="F16" s="25" t="s">
        <v>158</v>
      </c>
      <c r="G16" s="25" t="s">
        <v>159</v>
      </c>
      <c r="H16" s="25" t="s">
        <v>40</v>
      </c>
      <c r="I16" s="25"/>
      <c r="K16" s="25">
        <v>11</v>
      </c>
      <c r="L16" s="25" t="s">
        <v>157</v>
      </c>
      <c r="M16" s="25" t="s">
        <v>201</v>
      </c>
      <c r="N16" s="25" t="s">
        <v>253</v>
      </c>
      <c r="O16" s="25">
        <v>0</v>
      </c>
      <c r="P16" s="25" t="s">
        <v>225</v>
      </c>
    </row>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0B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pageSetUpPr fitToPage="1"/>
  </sheetPr>
  <dimension ref="B2:P709"/>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テーブルマッピング!E34</f>
        <v>ユニバーサルフィールド２一覧</v>
      </c>
      <c r="D2" s="2"/>
      <c r="E2" s="2"/>
    </row>
    <row r="3" spans="2:16" x14ac:dyDescent="0.15">
      <c r="C3" s="8" t="s">
        <v>172</v>
      </c>
      <c r="D3" s="2"/>
      <c r="E3" s="2"/>
    </row>
    <row r="4" spans="2:16" x14ac:dyDescent="0.15">
      <c r="C4" s="14"/>
      <c r="D4" s="2"/>
      <c r="E4" s="2"/>
    </row>
    <row r="5" spans="2:16" x14ac:dyDescent="0.15">
      <c r="C5" s="7" t="s">
        <v>182</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4" customFormat="1" x14ac:dyDescent="0.15">
      <c r="C7" s="25">
        <v>2</v>
      </c>
      <c r="D7" s="25" t="s">
        <v>164</v>
      </c>
      <c r="E7" s="25" t="s">
        <v>165</v>
      </c>
      <c r="F7" s="25" t="s">
        <v>39</v>
      </c>
      <c r="G7" s="25">
        <v>20</v>
      </c>
      <c r="H7" s="25" t="s">
        <v>40</v>
      </c>
      <c r="I7" s="25"/>
      <c r="K7" s="25">
        <v>1</v>
      </c>
      <c r="L7" s="25" t="s">
        <v>211</v>
      </c>
      <c r="M7" s="25" t="s">
        <v>212</v>
      </c>
      <c r="N7" s="25" t="s">
        <v>254</v>
      </c>
      <c r="O7" s="25">
        <v>1</v>
      </c>
      <c r="P7" s="25" t="s">
        <v>224</v>
      </c>
    </row>
    <row r="8" spans="2:16" s="74" customFormat="1" x14ac:dyDescent="0.15">
      <c r="C8" s="25">
        <v>3</v>
      </c>
      <c r="D8" s="25" t="s">
        <v>166</v>
      </c>
      <c r="E8" s="25" t="s">
        <v>174</v>
      </c>
      <c r="F8" s="25" t="s">
        <v>39</v>
      </c>
      <c r="G8" s="25">
        <v>20</v>
      </c>
      <c r="H8" s="25"/>
      <c r="I8" s="25"/>
      <c r="K8" s="25">
        <v>2</v>
      </c>
      <c r="L8" s="25" t="s">
        <v>213</v>
      </c>
      <c r="M8" s="25" t="s">
        <v>214</v>
      </c>
      <c r="N8" s="25" t="s">
        <v>254</v>
      </c>
      <c r="O8" s="25">
        <v>0</v>
      </c>
      <c r="P8" s="25" t="s">
        <v>224</v>
      </c>
    </row>
    <row r="9" spans="2:16" s="74" customFormat="1" x14ac:dyDescent="0.15">
      <c r="C9" s="25">
        <v>1</v>
      </c>
      <c r="D9" s="25" t="s">
        <v>33</v>
      </c>
      <c r="E9" s="25" t="s">
        <v>34</v>
      </c>
      <c r="F9" s="25" t="s">
        <v>35</v>
      </c>
      <c r="G9" s="25"/>
      <c r="H9" s="25"/>
      <c r="I9" s="25" t="s">
        <v>36</v>
      </c>
      <c r="K9" s="25">
        <v>4</v>
      </c>
      <c r="L9" s="25" t="s">
        <v>34</v>
      </c>
      <c r="M9" s="25" t="s">
        <v>187</v>
      </c>
      <c r="N9" s="25" t="s">
        <v>35</v>
      </c>
      <c r="O9" s="25">
        <v>0</v>
      </c>
      <c r="P9" s="25"/>
    </row>
    <row r="10" spans="2:16" s="74" customFormat="1" x14ac:dyDescent="0.15"/>
    <row r="11" spans="2:16" s="74" customFormat="1" x14ac:dyDescent="0.15"/>
    <row r="12" spans="2:16" s="74" customFormat="1" x14ac:dyDescent="0.15"/>
    <row r="13" spans="2:16" s="74" customFormat="1" x14ac:dyDescent="0.15"/>
    <row r="14" spans="2:16" s="74" customFormat="1" x14ac:dyDescent="0.15"/>
    <row r="15" spans="2:16" s="74" customFormat="1" x14ac:dyDescent="0.15"/>
    <row r="16" spans="2:16" s="74" customFormat="1" x14ac:dyDescent="0.15"/>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0C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2">
    <pageSetUpPr fitToPage="1"/>
  </sheetPr>
  <dimension ref="B2:P709"/>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テーブルマッピング!E35</f>
        <v>ユニバーサルフィールド２残高</v>
      </c>
      <c r="D2" s="2"/>
      <c r="E2" s="2"/>
    </row>
    <row r="3" spans="2:16" x14ac:dyDescent="0.15">
      <c r="C3" s="8" t="s">
        <v>172</v>
      </c>
      <c r="D3" s="2"/>
      <c r="E3" s="2"/>
    </row>
    <row r="4" spans="2:16" x14ac:dyDescent="0.15">
      <c r="C4" s="8"/>
      <c r="D4" s="2"/>
      <c r="E4" s="2"/>
    </row>
    <row r="5" spans="2:16" x14ac:dyDescent="0.15">
      <c r="C5" s="13" t="s">
        <v>182</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4" customFormat="1" x14ac:dyDescent="0.15">
      <c r="C7" s="25">
        <v>2</v>
      </c>
      <c r="D7" s="25" t="s">
        <v>164</v>
      </c>
      <c r="E7" s="25" t="s">
        <v>165</v>
      </c>
      <c r="F7" s="25" t="s">
        <v>39</v>
      </c>
      <c r="G7" s="25">
        <v>8</v>
      </c>
      <c r="H7" s="25" t="s">
        <v>40</v>
      </c>
      <c r="I7" s="25"/>
      <c r="K7" s="25">
        <v>1</v>
      </c>
      <c r="L7" s="25" t="s">
        <v>211</v>
      </c>
      <c r="M7" s="25" t="s">
        <v>212</v>
      </c>
      <c r="N7" s="25" t="s">
        <v>254</v>
      </c>
      <c r="O7" s="25">
        <v>1</v>
      </c>
      <c r="P7" s="25" t="s">
        <v>225</v>
      </c>
    </row>
    <row r="8" spans="2:16" s="74" customFormat="1" x14ac:dyDescent="0.15">
      <c r="C8" s="25">
        <v>6</v>
      </c>
      <c r="D8" s="25" t="s">
        <v>41</v>
      </c>
      <c r="E8" s="25" t="s">
        <v>42</v>
      </c>
      <c r="F8" s="25" t="s">
        <v>39</v>
      </c>
      <c r="G8" s="25">
        <v>8</v>
      </c>
      <c r="H8" s="25" t="s">
        <v>40</v>
      </c>
      <c r="I8" s="25"/>
      <c r="K8" s="25">
        <v>2</v>
      </c>
      <c r="L8" s="25" t="s">
        <v>42</v>
      </c>
      <c r="M8" s="25" t="s">
        <v>188</v>
      </c>
      <c r="N8" s="25" t="s">
        <v>254</v>
      </c>
      <c r="O8" s="25">
        <v>1</v>
      </c>
      <c r="P8" s="25" t="s">
        <v>225</v>
      </c>
    </row>
    <row r="9" spans="2:16" s="74" customFormat="1" x14ac:dyDescent="0.15">
      <c r="C9" s="25">
        <v>1</v>
      </c>
      <c r="D9" s="25" t="s">
        <v>33</v>
      </c>
      <c r="E9" s="25" t="s">
        <v>34</v>
      </c>
      <c r="F9" s="25" t="s">
        <v>35</v>
      </c>
      <c r="G9" s="25"/>
      <c r="H9" s="25"/>
      <c r="I9" s="25" t="s">
        <v>36</v>
      </c>
      <c r="K9" s="25">
        <v>3</v>
      </c>
      <c r="L9" s="25" t="s">
        <v>34</v>
      </c>
      <c r="M9" s="25" t="s">
        <v>187</v>
      </c>
      <c r="N9" s="25" t="s">
        <v>35</v>
      </c>
      <c r="O9" s="25">
        <v>0</v>
      </c>
      <c r="P9" s="25"/>
    </row>
    <row r="10" spans="2:16" s="74" customFormat="1" x14ac:dyDescent="0.15">
      <c r="C10" s="25">
        <v>3</v>
      </c>
      <c r="D10" s="25" t="s">
        <v>37</v>
      </c>
      <c r="E10" s="25" t="s">
        <v>38</v>
      </c>
      <c r="F10" s="25" t="s">
        <v>39</v>
      </c>
      <c r="G10" s="25">
        <v>15</v>
      </c>
      <c r="H10" s="25" t="s">
        <v>40</v>
      </c>
      <c r="I10" s="25"/>
      <c r="K10" s="25">
        <v>4</v>
      </c>
      <c r="L10" s="25" t="s">
        <v>38</v>
      </c>
      <c r="M10" s="25" t="s">
        <v>191</v>
      </c>
      <c r="N10" s="25" t="s">
        <v>254</v>
      </c>
      <c r="O10" s="25">
        <v>0</v>
      </c>
      <c r="P10" s="25" t="s">
        <v>225</v>
      </c>
    </row>
    <row r="11" spans="2:16" s="74" customFormat="1" x14ac:dyDescent="0.15">
      <c r="C11" s="25">
        <v>4</v>
      </c>
      <c r="D11" s="25" t="s">
        <v>166</v>
      </c>
      <c r="E11" s="25" t="s">
        <v>167</v>
      </c>
      <c r="F11" s="25" t="s">
        <v>39</v>
      </c>
      <c r="G11" s="25">
        <v>20</v>
      </c>
      <c r="H11" s="25"/>
      <c r="I11" s="25"/>
      <c r="K11" s="25">
        <v>5</v>
      </c>
      <c r="L11" s="25" t="s">
        <v>213</v>
      </c>
      <c r="M11" s="25" t="s">
        <v>214</v>
      </c>
      <c r="N11" s="25" t="s">
        <v>254</v>
      </c>
      <c r="O11" s="25">
        <v>0</v>
      </c>
      <c r="P11" s="25" t="s">
        <v>225</v>
      </c>
    </row>
    <row r="12" spans="2:16" s="74" customFormat="1" x14ac:dyDescent="0.15">
      <c r="C12" s="25">
        <v>7</v>
      </c>
      <c r="D12" s="25" t="s">
        <v>48</v>
      </c>
      <c r="E12" s="25" t="s">
        <v>49</v>
      </c>
      <c r="F12" s="25" t="s">
        <v>35</v>
      </c>
      <c r="G12" s="25"/>
      <c r="H12" s="25"/>
      <c r="I12" s="25"/>
      <c r="K12" s="25">
        <v>7</v>
      </c>
      <c r="L12" s="25" t="s">
        <v>198</v>
      </c>
      <c r="M12" s="25" t="s">
        <v>199</v>
      </c>
      <c r="N12" s="25" t="s">
        <v>35</v>
      </c>
      <c r="O12" s="25">
        <v>0</v>
      </c>
      <c r="P12" s="25"/>
    </row>
    <row r="13" spans="2:16" s="74" customFormat="1" x14ac:dyDescent="0.15">
      <c r="C13" s="25">
        <v>8</v>
      </c>
      <c r="D13" s="25" t="s">
        <v>43</v>
      </c>
      <c r="E13" s="25" t="s">
        <v>44</v>
      </c>
      <c r="F13" s="25" t="s">
        <v>39</v>
      </c>
      <c r="G13" s="25">
        <v>22</v>
      </c>
      <c r="H13" s="25"/>
      <c r="I13" s="25"/>
      <c r="K13" s="25">
        <v>8</v>
      </c>
      <c r="L13" s="25" t="s">
        <v>192</v>
      </c>
      <c r="M13" s="25" t="s">
        <v>193</v>
      </c>
      <c r="N13" s="25" t="s">
        <v>254</v>
      </c>
      <c r="O13" s="25">
        <v>0</v>
      </c>
      <c r="P13" s="25" t="s">
        <v>224</v>
      </c>
    </row>
    <row r="14" spans="2:16" s="74" customFormat="1" x14ac:dyDescent="0.15">
      <c r="C14" s="25">
        <v>9</v>
      </c>
      <c r="D14" s="25" t="s">
        <v>45</v>
      </c>
      <c r="E14" s="25" t="s">
        <v>46</v>
      </c>
      <c r="F14" s="25" t="s">
        <v>39</v>
      </c>
      <c r="G14" s="25">
        <v>40</v>
      </c>
      <c r="H14" s="25"/>
      <c r="I14" s="25"/>
      <c r="K14" s="25">
        <v>9</v>
      </c>
      <c r="L14" s="25" t="s">
        <v>228</v>
      </c>
      <c r="M14" s="25" t="s">
        <v>227</v>
      </c>
      <c r="N14" s="25" t="s">
        <v>254</v>
      </c>
      <c r="O14" s="25">
        <v>0</v>
      </c>
      <c r="P14" s="25" t="s">
        <v>225</v>
      </c>
    </row>
    <row r="15" spans="2:16" s="74" customFormat="1" x14ac:dyDescent="0.15">
      <c r="C15" s="25">
        <v>10</v>
      </c>
      <c r="D15" s="25" t="s">
        <v>50</v>
      </c>
      <c r="E15" s="25" t="s">
        <v>51</v>
      </c>
      <c r="F15" s="25" t="s">
        <v>35</v>
      </c>
      <c r="G15" s="25"/>
      <c r="H15" s="25" t="s">
        <v>40</v>
      </c>
      <c r="I15" s="25" t="s">
        <v>52</v>
      </c>
      <c r="K15" s="25">
        <v>10</v>
      </c>
      <c r="L15" s="25" t="s">
        <v>51</v>
      </c>
      <c r="M15" s="25" t="s">
        <v>226</v>
      </c>
      <c r="N15" s="25" t="s">
        <v>186</v>
      </c>
      <c r="O15" s="25">
        <v>0</v>
      </c>
      <c r="P15" s="25" t="s">
        <v>224</v>
      </c>
    </row>
    <row r="16" spans="2:16" s="74" customFormat="1" x14ac:dyDescent="0.15">
      <c r="C16" s="25">
        <v>11</v>
      </c>
      <c r="D16" s="25" t="s">
        <v>156</v>
      </c>
      <c r="E16" s="25" t="s">
        <v>157</v>
      </c>
      <c r="F16" s="25" t="s">
        <v>158</v>
      </c>
      <c r="G16" s="25" t="s">
        <v>159</v>
      </c>
      <c r="H16" s="25" t="s">
        <v>40</v>
      </c>
      <c r="I16" s="25"/>
      <c r="K16" s="25">
        <v>11</v>
      </c>
      <c r="L16" s="25" t="s">
        <v>157</v>
      </c>
      <c r="M16" s="25" t="s">
        <v>201</v>
      </c>
      <c r="N16" s="25" t="s">
        <v>253</v>
      </c>
      <c r="O16" s="25">
        <v>0</v>
      </c>
      <c r="P16" s="25" t="s">
        <v>225</v>
      </c>
    </row>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0D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B2:P709"/>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テーブルマッピング!E36</f>
        <v>ユニバーサルフィールド３一覧</v>
      </c>
      <c r="D2" s="2"/>
      <c r="E2" s="2"/>
    </row>
    <row r="3" spans="2:16" x14ac:dyDescent="0.15">
      <c r="C3" s="8" t="s">
        <v>172</v>
      </c>
      <c r="D3" s="2"/>
      <c r="E3" s="2"/>
    </row>
    <row r="4" spans="2:16" x14ac:dyDescent="0.15">
      <c r="C4" s="14"/>
      <c r="D4" s="2"/>
      <c r="E4" s="2"/>
    </row>
    <row r="5" spans="2:16" x14ac:dyDescent="0.15">
      <c r="C5" s="7"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225</v>
      </c>
    </row>
    <row r="7" spans="2:16" s="74" customFormat="1" x14ac:dyDescent="0.15">
      <c r="C7" s="25">
        <v>2</v>
      </c>
      <c r="D7" s="25" t="s">
        <v>168</v>
      </c>
      <c r="E7" s="25" t="s">
        <v>169</v>
      </c>
      <c r="F7" s="25" t="s">
        <v>39</v>
      </c>
      <c r="G7" s="25">
        <v>20</v>
      </c>
      <c r="H7" s="25" t="s">
        <v>40</v>
      </c>
      <c r="I7" s="25"/>
      <c r="K7" s="25">
        <v>1</v>
      </c>
      <c r="L7" s="25" t="s">
        <v>215</v>
      </c>
      <c r="M7" s="25" t="s">
        <v>216</v>
      </c>
      <c r="N7" s="25" t="s">
        <v>254</v>
      </c>
      <c r="O7" s="25">
        <v>1</v>
      </c>
      <c r="P7" s="25" t="s">
        <v>224</v>
      </c>
    </row>
    <row r="8" spans="2:16" s="74" customFormat="1" x14ac:dyDescent="0.15">
      <c r="C8" s="25">
        <v>3</v>
      </c>
      <c r="D8" s="25" t="s">
        <v>170</v>
      </c>
      <c r="E8" s="25" t="s">
        <v>175</v>
      </c>
      <c r="F8" s="25" t="s">
        <v>39</v>
      </c>
      <c r="G8" s="25">
        <v>20</v>
      </c>
      <c r="H8" s="25"/>
      <c r="I8" s="25"/>
      <c r="K8" s="25">
        <v>2</v>
      </c>
      <c r="L8" s="25" t="s">
        <v>217</v>
      </c>
      <c r="M8" s="25" t="s">
        <v>218</v>
      </c>
      <c r="N8" s="25" t="s">
        <v>254</v>
      </c>
      <c r="O8" s="25">
        <v>0</v>
      </c>
      <c r="P8" s="25" t="s">
        <v>224</v>
      </c>
    </row>
    <row r="9" spans="2:16" s="74" customFormat="1" x14ac:dyDescent="0.15">
      <c r="C9" s="25">
        <v>1</v>
      </c>
      <c r="D9" s="25" t="s">
        <v>33</v>
      </c>
      <c r="E9" s="25" t="s">
        <v>34</v>
      </c>
      <c r="F9" s="25" t="s">
        <v>35</v>
      </c>
      <c r="G9" s="25"/>
      <c r="H9" s="25"/>
      <c r="I9" s="25" t="s">
        <v>36</v>
      </c>
      <c r="K9" s="25">
        <v>4</v>
      </c>
      <c r="L9" s="25" t="s">
        <v>34</v>
      </c>
      <c r="M9" s="25" t="s">
        <v>187</v>
      </c>
      <c r="N9" s="25" t="s">
        <v>35</v>
      </c>
      <c r="O9" s="25">
        <v>0</v>
      </c>
      <c r="P9" s="25"/>
    </row>
    <row r="10" spans="2:16" s="74" customFormat="1" x14ac:dyDescent="0.15"/>
    <row r="11" spans="2:16" s="74" customFormat="1" x14ac:dyDescent="0.15"/>
    <row r="12" spans="2:16" s="74" customFormat="1" x14ac:dyDescent="0.15"/>
    <row r="13" spans="2:16" s="74" customFormat="1" x14ac:dyDescent="0.15"/>
    <row r="14" spans="2:16" s="74" customFormat="1" x14ac:dyDescent="0.15"/>
    <row r="15" spans="2:16" s="74" customFormat="1" x14ac:dyDescent="0.15"/>
    <row r="16" spans="2:16" s="74" customFormat="1" x14ac:dyDescent="0.15"/>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0E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pageSetUpPr fitToPage="1"/>
  </sheetPr>
  <dimension ref="B2:P709"/>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テーブルマッピング!E37</f>
        <v>ユニバーサルフィールド３残高</v>
      </c>
      <c r="D2" s="2"/>
      <c r="E2" s="2"/>
    </row>
    <row r="3" spans="2:16" x14ac:dyDescent="0.15">
      <c r="C3" s="8" t="s">
        <v>172</v>
      </c>
      <c r="D3" s="2"/>
      <c r="E3" s="2"/>
    </row>
    <row r="4" spans="2:16" x14ac:dyDescent="0.15">
      <c r="C4" s="8"/>
      <c r="D4" s="2"/>
      <c r="E4" s="2"/>
    </row>
    <row r="5" spans="2:16" x14ac:dyDescent="0.15">
      <c r="C5" s="13"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4" customFormat="1" x14ac:dyDescent="0.15">
      <c r="C7" s="25">
        <v>2</v>
      </c>
      <c r="D7" s="25" t="s">
        <v>168</v>
      </c>
      <c r="E7" s="25" t="s">
        <v>169</v>
      </c>
      <c r="F7" s="25" t="s">
        <v>39</v>
      </c>
      <c r="G7" s="25">
        <v>8</v>
      </c>
      <c r="H7" s="25" t="s">
        <v>40</v>
      </c>
      <c r="I7" s="25"/>
      <c r="K7" s="25">
        <v>1</v>
      </c>
      <c r="L7" s="25" t="s">
        <v>215</v>
      </c>
      <c r="M7" s="25" t="s">
        <v>216</v>
      </c>
      <c r="N7" s="25" t="s">
        <v>254</v>
      </c>
      <c r="O7" s="25">
        <v>1</v>
      </c>
      <c r="P7" s="25" t="s">
        <v>225</v>
      </c>
    </row>
    <row r="8" spans="2:16" s="74" customFormat="1" x14ac:dyDescent="0.15">
      <c r="C8" s="25">
        <v>6</v>
      </c>
      <c r="D8" s="25" t="s">
        <v>41</v>
      </c>
      <c r="E8" s="25" t="s">
        <v>42</v>
      </c>
      <c r="F8" s="25" t="s">
        <v>39</v>
      </c>
      <c r="G8" s="25">
        <v>8</v>
      </c>
      <c r="H8" s="25" t="s">
        <v>40</v>
      </c>
      <c r="I8" s="25"/>
      <c r="K8" s="25">
        <v>2</v>
      </c>
      <c r="L8" s="25" t="s">
        <v>42</v>
      </c>
      <c r="M8" s="25" t="s">
        <v>188</v>
      </c>
      <c r="N8" s="25" t="s">
        <v>254</v>
      </c>
      <c r="O8" s="25">
        <v>1</v>
      </c>
      <c r="P8" s="25" t="s">
        <v>225</v>
      </c>
    </row>
    <row r="9" spans="2:16" s="74" customFormat="1" x14ac:dyDescent="0.15">
      <c r="C9" s="25">
        <v>1</v>
      </c>
      <c r="D9" s="25" t="s">
        <v>33</v>
      </c>
      <c r="E9" s="25" t="s">
        <v>34</v>
      </c>
      <c r="F9" s="25" t="s">
        <v>35</v>
      </c>
      <c r="G9" s="25"/>
      <c r="H9" s="25"/>
      <c r="I9" s="25" t="s">
        <v>36</v>
      </c>
      <c r="K9" s="25">
        <v>3</v>
      </c>
      <c r="L9" s="25" t="s">
        <v>34</v>
      </c>
      <c r="M9" s="25" t="s">
        <v>187</v>
      </c>
      <c r="N9" s="25" t="s">
        <v>35</v>
      </c>
      <c r="O9" s="25">
        <v>0</v>
      </c>
      <c r="P9" s="25"/>
    </row>
    <row r="10" spans="2:16" s="74" customFormat="1" x14ac:dyDescent="0.15">
      <c r="C10" s="25">
        <v>3</v>
      </c>
      <c r="D10" s="25" t="s">
        <v>37</v>
      </c>
      <c r="E10" s="25" t="s">
        <v>38</v>
      </c>
      <c r="F10" s="25" t="s">
        <v>39</v>
      </c>
      <c r="G10" s="25">
        <v>15</v>
      </c>
      <c r="H10" s="25" t="s">
        <v>40</v>
      </c>
      <c r="I10" s="25"/>
      <c r="K10" s="25">
        <v>4</v>
      </c>
      <c r="L10" s="25" t="s">
        <v>38</v>
      </c>
      <c r="M10" s="25" t="s">
        <v>191</v>
      </c>
      <c r="N10" s="25" t="s">
        <v>254</v>
      </c>
      <c r="O10" s="25">
        <v>0</v>
      </c>
      <c r="P10" s="25" t="s">
        <v>225</v>
      </c>
    </row>
    <row r="11" spans="2:16" s="74" customFormat="1" x14ac:dyDescent="0.15">
      <c r="C11" s="25">
        <v>4</v>
      </c>
      <c r="D11" s="25" t="s">
        <v>170</v>
      </c>
      <c r="E11" s="25" t="s">
        <v>171</v>
      </c>
      <c r="F11" s="25" t="s">
        <v>39</v>
      </c>
      <c r="G11" s="25">
        <v>20</v>
      </c>
      <c r="H11" s="25"/>
      <c r="I11" s="25"/>
      <c r="K11" s="25">
        <v>5</v>
      </c>
      <c r="L11" s="25" t="s">
        <v>217</v>
      </c>
      <c r="M11" s="25" t="s">
        <v>218</v>
      </c>
      <c r="N11" s="25" t="s">
        <v>254</v>
      </c>
      <c r="O11" s="25">
        <v>0</v>
      </c>
      <c r="P11" s="25" t="s">
        <v>225</v>
      </c>
    </row>
    <row r="12" spans="2:16" s="74" customFormat="1" x14ac:dyDescent="0.15">
      <c r="C12" s="25">
        <v>7</v>
      </c>
      <c r="D12" s="25" t="s">
        <v>48</v>
      </c>
      <c r="E12" s="25" t="s">
        <v>49</v>
      </c>
      <c r="F12" s="25" t="s">
        <v>35</v>
      </c>
      <c r="G12" s="25"/>
      <c r="H12" s="25"/>
      <c r="I12" s="25"/>
      <c r="K12" s="25">
        <v>7</v>
      </c>
      <c r="L12" s="25" t="s">
        <v>198</v>
      </c>
      <c r="M12" s="25" t="s">
        <v>199</v>
      </c>
      <c r="N12" s="25" t="s">
        <v>35</v>
      </c>
      <c r="O12" s="25">
        <v>0</v>
      </c>
      <c r="P12" s="25"/>
    </row>
    <row r="13" spans="2:16" s="74" customFormat="1" x14ac:dyDescent="0.15">
      <c r="C13" s="25">
        <v>8</v>
      </c>
      <c r="D13" s="25" t="s">
        <v>43</v>
      </c>
      <c r="E13" s="25" t="s">
        <v>44</v>
      </c>
      <c r="F13" s="25" t="s">
        <v>39</v>
      </c>
      <c r="G13" s="25">
        <v>22</v>
      </c>
      <c r="H13" s="25"/>
      <c r="I13" s="25"/>
      <c r="K13" s="25">
        <v>8</v>
      </c>
      <c r="L13" s="25" t="s">
        <v>192</v>
      </c>
      <c r="M13" s="25" t="s">
        <v>193</v>
      </c>
      <c r="N13" s="25" t="s">
        <v>254</v>
      </c>
      <c r="O13" s="25">
        <v>0</v>
      </c>
      <c r="P13" s="25" t="s">
        <v>225</v>
      </c>
    </row>
    <row r="14" spans="2:16" s="74" customFormat="1" x14ac:dyDescent="0.15">
      <c r="C14" s="25">
        <v>9</v>
      </c>
      <c r="D14" s="25" t="s">
        <v>45</v>
      </c>
      <c r="E14" s="25" t="s">
        <v>46</v>
      </c>
      <c r="F14" s="25" t="s">
        <v>39</v>
      </c>
      <c r="G14" s="25">
        <v>40</v>
      </c>
      <c r="H14" s="25"/>
      <c r="I14" s="25"/>
      <c r="K14" s="25">
        <v>9</v>
      </c>
      <c r="L14" s="25" t="s">
        <v>194</v>
      </c>
      <c r="M14" s="25" t="s">
        <v>195</v>
      </c>
      <c r="N14" s="25" t="s">
        <v>254</v>
      </c>
      <c r="O14" s="25">
        <v>0</v>
      </c>
      <c r="P14" s="25" t="s">
        <v>225</v>
      </c>
    </row>
    <row r="15" spans="2:16" s="74"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4" customFormat="1" x14ac:dyDescent="0.15">
      <c r="C16" s="25">
        <v>11</v>
      </c>
      <c r="D16" s="25" t="s">
        <v>156</v>
      </c>
      <c r="E16" s="25" t="s">
        <v>157</v>
      </c>
      <c r="F16" s="25" t="s">
        <v>158</v>
      </c>
      <c r="G16" s="25" t="s">
        <v>159</v>
      </c>
      <c r="H16" s="25" t="s">
        <v>40</v>
      </c>
      <c r="I16" s="25"/>
      <c r="K16" s="25">
        <v>11</v>
      </c>
      <c r="L16" s="25" t="s">
        <v>157</v>
      </c>
      <c r="M16" s="25" t="s">
        <v>201</v>
      </c>
      <c r="N16" s="25" t="s">
        <v>253</v>
      </c>
      <c r="O16" s="25">
        <v>0</v>
      </c>
      <c r="P16" s="25"/>
    </row>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0F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pageSetUpPr fitToPage="1"/>
  </sheetPr>
  <dimension ref="B2:P71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4" bestFit="1" customWidth="1"/>
    <col min="6" max="6" width="8.25" bestFit="1" customWidth="1"/>
    <col min="7" max="7" width="5.375" bestFit="1" customWidth="1"/>
    <col min="8" max="8" width="6" bestFit="1" customWidth="1"/>
    <col min="9" max="9" width="35.75" hidden="1" customWidth="1"/>
    <col min="10" max="10" width="2.25" customWidth="1"/>
    <col min="11" max="11" width="3.875" bestFit="1" customWidth="1"/>
    <col min="12" max="12" width="15.125" bestFit="1" customWidth="1"/>
    <col min="13" max="13" width="17.125" bestFit="1" customWidth="1"/>
    <col min="14" max="14" width="7.375" bestFit="1" customWidth="1"/>
    <col min="15" max="15" width="9.25" bestFit="1" customWidth="1"/>
    <col min="16" max="16" width="11.75" bestFit="1" customWidth="1"/>
  </cols>
  <sheetData>
    <row r="2" spans="2:16" x14ac:dyDescent="0.15">
      <c r="B2" s="5" t="str">
        <f>テーブルマッピング!E38</f>
        <v>会社情報</v>
      </c>
      <c r="D2" s="2"/>
      <c r="E2" s="2"/>
    </row>
    <row r="3" spans="2:16" x14ac:dyDescent="0.15">
      <c r="C3" s="8" t="s">
        <v>172</v>
      </c>
      <c r="D3" s="2"/>
      <c r="E3" s="2"/>
    </row>
    <row r="4" spans="2:16" x14ac:dyDescent="0.15">
      <c r="C4" s="8"/>
      <c r="D4" s="2"/>
      <c r="E4" s="2"/>
    </row>
    <row r="5" spans="2:16" x14ac:dyDescent="0.15">
      <c r="C5" s="13" t="s">
        <v>181</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4" customFormat="1" x14ac:dyDescent="0.15">
      <c r="C7" s="25">
        <v>1</v>
      </c>
      <c r="D7" s="25" t="s">
        <v>33</v>
      </c>
      <c r="E7" s="25" t="s">
        <v>287</v>
      </c>
      <c r="F7" s="25" t="s">
        <v>35</v>
      </c>
      <c r="G7" s="25"/>
      <c r="H7" s="25" t="s">
        <v>765</v>
      </c>
      <c r="I7" s="25" t="s">
        <v>36</v>
      </c>
      <c r="K7" s="25">
        <v>1</v>
      </c>
      <c r="L7" s="25" t="s">
        <v>34</v>
      </c>
      <c r="M7" s="57" t="s">
        <v>187</v>
      </c>
      <c r="N7" s="57" t="s">
        <v>35</v>
      </c>
      <c r="O7" s="25">
        <v>1</v>
      </c>
      <c r="P7" s="25" t="s">
        <v>224</v>
      </c>
    </row>
    <row r="8" spans="2:16" s="74" customFormat="1" x14ac:dyDescent="0.15">
      <c r="C8" s="25">
        <v>2</v>
      </c>
      <c r="D8" s="25">
        <v>0</v>
      </c>
      <c r="E8" s="25" t="s">
        <v>826</v>
      </c>
      <c r="F8" s="25" t="s">
        <v>35</v>
      </c>
      <c r="G8" s="25"/>
      <c r="H8" s="25" t="s">
        <v>764</v>
      </c>
      <c r="I8" s="25"/>
      <c r="K8" s="25">
        <v>2</v>
      </c>
      <c r="L8" s="25" t="s">
        <v>827</v>
      </c>
      <c r="M8" s="25" t="s">
        <v>828</v>
      </c>
      <c r="N8" s="25" t="s">
        <v>35</v>
      </c>
      <c r="O8" s="25">
        <v>0</v>
      </c>
      <c r="P8" s="25" t="s">
        <v>643</v>
      </c>
    </row>
    <row r="9" spans="2:16" s="74" customFormat="1" x14ac:dyDescent="0.15">
      <c r="C9" s="25">
        <v>3</v>
      </c>
      <c r="D9" s="25">
        <v>0</v>
      </c>
      <c r="E9" s="25" t="s">
        <v>861</v>
      </c>
      <c r="F9" s="25" t="s">
        <v>862</v>
      </c>
      <c r="G9" s="25"/>
      <c r="H9" s="25" t="s">
        <v>764</v>
      </c>
      <c r="I9" s="25"/>
      <c r="K9" s="25">
        <v>3</v>
      </c>
      <c r="L9" s="25" t="s">
        <v>863</v>
      </c>
      <c r="M9" s="25" t="s">
        <v>864</v>
      </c>
      <c r="N9" s="25" t="s">
        <v>254</v>
      </c>
      <c r="O9" s="25">
        <v>0</v>
      </c>
      <c r="P9" s="25" t="s">
        <v>224</v>
      </c>
    </row>
    <row r="10" spans="2:16" s="74" customFormat="1" x14ac:dyDescent="0.15">
      <c r="C10" s="25">
        <v>4</v>
      </c>
      <c r="D10" s="82" t="s">
        <v>860</v>
      </c>
      <c r="E10" s="25" t="s">
        <v>829</v>
      </c>
      <c r="F10" s="25" t="s">
        <v>39</v>
      </c>
      <c r="G10" s="25">
        <v>20</v>
      </c>
      <c r="H10" s="25" t="s">
        <v>764</v>
      </c>
      <c r="I10" s="25"/>
      <c r="K10" s="25">
        <v>4</v>
      </c>
      <c r="L10" s="25" t="s">
        <v>830</v>
      </c>
      <c r="M10" s="25" t="s">
        <v>831</v>
      </c>
      <c r="N10" s="25" t="s">
        <v>832</v>
      </c>
      <c r="O10" s="25">
        <v>0</v>
      </c>
      <c r="P10" s="25" t="s">
        <v>643</v>
      </c>
    </row>
    <row r="11" spans="2:16" s="74" customFormat="1" x14ac:dyDescent="0.15">
      <c r="C11" s="25">
        <v>5</v>
      </c>
      <c r="D11" s="25">
        <v>0</v>
      </c>
      <c r="E11" s="25" t="s">
        <v>833</v>
      </c>
      <c r="F11" s="25" t="s">
        <v>35</v>
      </c>
      <c r="G11" s="25"/>
      <c r="H11" s="25" t="s">
        <v>764</v>
      </c>
      <c r="I11" s="25"/>
      <c r="K11" s="25">
        <v>5</v>
      </c>
      <c r="L11" s="25" t="s">
        <v>834</v>
      </c>
      <c r="M11" s="25" t="s">
        <v>835</v>
      </c>
      <c r="N11" s="25" t="s">
        <v>35</v>
      </c>
      <c r="O11" s="25">
        <v>0</v>
      </c>
      <c r="P11" s="25" t="s">
        <v>643</v>
      </c>
    </row>
    <row r="12" spans="2:16" s="74" customFormat="1" x14ac:dyDescent="0.15">
      <c r="C12" s="25">
        <v>6</v>
      </c>
      <c r="D12" s="25">
        <v>0</v>
      </c>
      <c r="E12" s="25" t="s">
        <v>865</v>
      </c>
      <c r="F12" s="25" t="s">
        <v>862</v>
      </c>
      <c r="G12" s="25"/>
      <c r="H12" s="25" t="s">
        <v>764</v>
      </c>
      <c r="I12" s="25"/>
      <c r="K12" s="25">
        <v>6</v>
      </c>
      <c r="L12" s="25" t="s">
        <v>866</v>
      </c>
      <c r="M12" s="25" t="s">
        <v>867</v>
      </c>
      <c r="N12" s="25" t="s">
        <v>254</v>
      </c>
      <c r="O12" s="25">
        <v>0</v>
      </c>
      <c r="P12" s="25" t="s">
        <v>224</v>
      </c>
    </row>
    <row r="13" spans="2:16" s="74" customFormat="1" x14ac:dyDescent="0.15">
      <c r="C13" s="25">
        <v>7</v>
      </c>
      <c r="D13" s="82" t="s">
        <v>860</v>
      </c>
      <c r="E13" s="25" t="s">
        <v>836</v>
      </c>
      <c r="F13" s="25" t="s">
        <v>39</v>
      </c>
      <c r="G13" s="25">
        <v>20</v>
      </c>
      <c r="H13" s="25" t="s">
        <v>764</v>
      </c>
      <c r="I13" s="25"/>
      <c r="K13" s="25">
        <v>7</v>
      </c>
      <c r="L13" s="25" t="s">
        <v>837</v>
      </c>
      <c r="M13" s="25" t="s">
        <v>838</v>
      </c>
      <c r="N13" s="25" t="s">
        <v>832</v>
      </c>
      <c r="O13" s="25">
        <v>0</v>
      </c>
      <c r="P13" s="25" t="s">
        <v>643</v>
      </c>
    </row>
    <row r="14" spans="2:16" s="74" customFormat="1" x14ac:dyDescent="0.15">
      <c r="C14" s="25">
        <v>8</v>
      </c>
      <c r="D14" s="25">
        <v>0</v>
      </c>
      <c r="E14" s="25" t="s">
        <v>839</v>
      </c>
      <c r="F14" s="25" t="s">
        <v>35</v>
      </c>
      <c r="G14" s="25"/>
      <c r="H14" s="25" t="s">
        <v>764</v>
      </c>
      <c r="I14" s="25"/>
      <c r="K14" s="25">
        <v>8</v>
      </c>
      <c r="L14" s="25" t="s">
        <v>840</v>
      </c>
      <c r="M14" s="25" t="s">
        <v>841</v>
      </c>
      <c r="N14" s="25" t="s">
        <v>35</v>
      </c>
      <c r="O14" s="25">
        <v>0</v>
      </c>
      <c r="P14" s="25" t="s">
        <v>643</v>
      </c>
    </row>
    <row r="15" spans="2:16" s="74" customFormat="1" x14ac:dyDescent="0.15">
      <c r="C15" s="25">
        <v>9</v>
      </c>
      <c r="D15" s="25">
        <v>0</v>
      </c>
      <c r="E15" s="25" t="s">
        <v>868</v>
      </c>
      <c r="F15" s="25" t="s">
        <v>862</v>
      </c>
      <c r="G15" s="25"/>
      <c r="H15" s="25" t="s">
        <v>764</v>
      </c>
      <c r="I15" s="25"/>
      <c r="K15" s="25">
        <v>9</v>
      </c>
      <c r="L15" s="25" t="s">
        <v>869</v>
      </c>
      <c r="M15" s="25" t="s">
        <v>870</v>
      </c>
      <c r="N15" s="25" t="s">
        <v>254</v>
      </c>
      <c r="O15" s="25">
        <v>0</v>
      </c>
      <c r="P15" s="25" t="s">
        <v>224</v>
      </c>
    </row>
    <row r="16" spans="2:16" s="74" customFormat="1" x14ac:dyDescent="0.15">
      <c r="C16" s="25">
        <v>10</v>
      </c>
      <c r="D16" s="82" t="s">
        <v>860</v>
      </c>
      <c r="E16" s="25" t="s">
        <v>842</v>
      </c>
      <c r="F16" s="25" t="s">
        <v>39</v>
      </c>
      <c r="G16" s="25">
        <v>20</v>
      </c>
      <c r="H16" s="25" t="s">
        <v>764</v>
      </c>
      <c r="I16" s="25"/>
      <c r="K16" s="25">
        <v>10</v>
      </c>
      <c r="L16" s="25" t="s">
        <v>843</v>
      </c>
      <c r="M16" s="25" t="s">
        <v>844</v>
      </c>
      <c r="N16" s="25" t="s">
        <v>832</v>
      </c>
      <c r="O16" s="25">
        <v>0</v>
      </c>
      <c r="P16" s="25" t="s">
        <v>643</v>
      </c>
    </row>
    <row r="17" spans="3:16" s="74" customFormat="1" x14ac:dyDescent="0.15">
      <c r="C17" s="25">
        <v>11</v>
      </c>
      <c r="D17" s="25">
        <v>0</v>
      </c>
      <c r="E17" s="25" t="s">
        <v>1245</v>
      </c>
      <c r="F17" s="25" t="s">
        <v>35</v>
      </c>
      <c r="G17" s="25"/>
      <c r="H17" s="25" t="s">
        <v>764</v>
      </c>
      <c r="I17" s="25"/>
      <c r="K17" s="25">
        <v>11</v>
      </c>
      <c r="L17" s="25" t="s">
        <v>1246</v>
      </c>
      <c r="M17" s="25" t="s">
        <v>1247</v>
      </c>
      <c r="N17" s="25" t="s">
        <v>35</v>
      </c>
      <c r="O17" s="25">
        <v>0</v>
      </c>
      <c r="P17" s="25" t="s">
        <v>224</v>
      </c>
    </row>
    <row r="18" spans="3:16" s="74" customFormat="1" x14ac:dyDescent="0.15">
      <c r="C18" s="25">
        <v>12</v>
      </c>
      <c r="D18" s="25">
        <v>0</v>
      </c>
      <c r="E18" s="25" t="s">
        <v>1248</v>
      </c>
      <c r="F18" s="25" t="s">
        <v>862</v>
      </c>
      <c r="G18" s="25"/>
      <c r="H18" s="25" t="s">
        <v>764</v>
      </c>
      <c r="I18" s="25"/>
      <c r="K18" s="25">
        <v>12</v>
      </c>
      <c r="L18" s="25" t="s">
        <v>1249</v>
      </c>
      <c r="M18" s="25" t="s">
        <v>1250</v>
      </c>
      <c r="N18" s="25" t="s">
        <v>254</v>
      </c>
      <c r="O18" s="25">
        <v>0</v>
      </c>
      <c r="P18" s="25" t="s">
        <v>224</v>
      </c>
    </row>
    <row r="19" spans="3:16" s="74" customFormat="1" x14ac:dyDescent="0.15">
      <c r="C19" s="25">
        <v>13</v>
      </c>
      <c r="D19" s="82" t="s">
        <v>860</v>
      </c>
      <c r="E19" s="25" t="s">
        <v>1251</v>
      </c>
      <c r="F19" s="25" t="s">
        <v>39</v>
      </c>
      <c r="G19" s="25">
        <v>20</v>
      </c>
      <c r="H19" s="25" t="s">
        <v>764</v>
      </c>
      <c r="I19" s="25"/>
      <c r="K19" s="25">
        <v>13</v>
      </c>
      <c r="L19" s="25" t="s">
        <v>1252</v>
      </c>
      <c r="M19" s="25" t="s">
        <v>1253</v>
      </c>
      <c r="N19" s="25" t="s">
        <v>254</v>
      </c>
      <c r="O19" s="25">
        <v>0</v>
      </c>
      <c r="P19" s="25" t="s">
        <v>224</v>
      </c>
    </row>
    <row r="20" spans="3:16" s="74" customFormat="1" x14ac:dyDescent="0.15">
      <c r="C20" s="25">
        <v>14</v>
      </c>
      <c r="D20" s="25">
        <v>0</v>
      </c>
      <c r="E20" s="25" t="s">
        <v>1254</v>
      </c>
      <c r="F20" s="25" t="s">
        <v>35</v>
      </c>
      <c r="G20" s="25"/>
      <c r="H20" s="25" t="s">
        <v>764</v>
      </c>
      <c r="I20" s="25"/>
      <c r="K20" s="25">
        <v>14</v>
      </c>
      <c r="L20" s="25" t="s">
        <v>1255</v>
      </c>
      <c r="M20" s="25" t="s">
        <v>1256</v>
      </c>
      <c r="N20" s="25" t="s">
        <v>35</v>
      </c>
      <c r="O20" s="25">
        <v>0</v>
      </c>
      <c r="P20" s="25" t="s">
        <v>224</v>
      </c>
    </row>
    <row r="21" spans="3:16" s="74" customFormat="1" x14ac:dyDescent="0.15">
      <c r="C21" s="25">
        <v>15</v>
      </c>
      <c r="D21" s="25">
        <v>0</v>
      </c>
      <c r="E21" s="25" t="s">
        <v>1257</v>
      </c>
      <c r="F21" s="25" t="s">
        <v>862</v>
      </c>
      <c r="G21" s="25"/>
      <c r="H21" s="25" t="s">
        <v>764</v>
      </c>
      <c r="I21" s="25"/>
      <c r="K21" s="25">
        <v>15</v>
      </c>
      <c r="L21" s="25" t="s">
        <v>1258</v>
      </c>
      <c r="M21" s="25" t="s">
        <v>1259</v>
      </c>
      <c r="N21" s="25" t="s">
        <v>254</v>
      </c>
      <c r="O21" s="25">
        <v>0</v>
      </c>
      <c r="P21" s="25" t="s">
        <v>224</v>
      </c>
    </row>
    <row r="22" spans="3:16" s="74" customFormat="1" x14ac:dyDescent="0.15">
      <c r="C22" s="25">
        <v>16</v>
      </c>
      <c r="D22" s="82" t="s">
        <v>860</v>
      </c>
      <c r="E22" s="25" t="s">
        <v>1260</v>
      </c>
      <c r="F22" s="25" t="s">
        <v>39</v>
      </c>
      <c r="G22" s="25">
        <v>20</v>
      </c>
      <c r="H22" s="25" t="s">
        <v>764</v>
      </c>
      <c r="I22" s="25"/>
      <c r="K22" s="25">
        <v>16</v>
      </c>
      <c r="L22" s="25" t="s">
        <v>1261</v>
      </c>
      <c r="M22" s="25" t="s">
        <v>1262</v>
      </c>
      <c r="N22" s="25" t="s">
        <v>254</v>
      </c>
      <c r="O22" s="25">
        <v>0</v>
      </c>
      <c r="P22" s="25" t="s">
        <v>224</v>
      </c>
    </row>
    <row r="23" spans="3:16" s="74" customFormat="1" x14ac:dyDescent="0.15">
      <c r="C23" s="25">
        <v>17</v>
      </c>
      <c r="D23" s="25">
        <v>0</v>
      </c>
      <c r="E23" s="25" t="s">
        <v>1263</v>
      </c>
      <c r="F23" s="25" t="s">
        <v>35</v>
      </c>
      <c r="G23" s="25"/>
      <c r="H23" s="25" t="s">
        <v>764</v>
      </c>
      <c r="I23" s="25"/>
      <c r="K23" s="25">
        <v>17</v>
      </c>
      <c r="L23" s="25" t="s">
        <v>1264</v>
      </c>
      <c r="M23" s="25" t="s">
        <v>1265</v>
      </c>
      <c r="N23" s="25" t="s">
        <v>35</v>
      </c>
      <c r="O23" s="25">
        <v>0</v>
      </c>
      <c r="P23" s="25" t="s">
        <v>224</v>
      </c>
    </row>
    <row r="24" spans="3:16" s="74" customFormat="1" x14ac:dyDescent="0.15">
      <c r="C24" s="25">
        <v>18</v>
      </c>
      <c r="D24" s="25">
        <v>0</v>
      </c>
      <c r="E24" s="25" t="s">
        <v>1266</v>
      </c>
      <c r="F24" s="25" t="s">
        <v>862</v>
      </c>
      <c r="G24" s="25"/>
      <c r="H24" s="25" t="s">
        <v>764</v>
      </c>
      <c r="I24" s="25"/>
      <c r="K24" s="25">
        <v>18</v>
      </c>
      <c r="L24" s="25" t="s">
        <v>1267</v>
      </c>
      <c r="M24" s="25" t="s">
        <v>1268</v>
      </c>
      <c r="N24" s="25" t="s">
        <v>254</v>
      </c>
      <c r="O24" s="25">
        <v>0</v>
      </c>
      <c r="P24" s="25" t="s">
        <v>224</v>
      </c>
    </row>
    <row r="25" spans="3:16" s="74" customFormat="1" x14ac:dyDescent="0.15">
      <c r="C25" s="25">
        <v>19</v>
      </c>
      <c r="D25" s="82" t="s">
        <v>860</v>
      </c>
      <c r="E25" s="25" t="s">
        <v>1269</v>
      </c>
      <c r="F25" s="25" t="s">
        <v>39</v>
      </c>
      <c r="G25" s="25">
        <v>20</v>
      </c>
      <c r="H25" s="25" t="s">
        <v>764</v>
      </c>
      <c r="I25" s="25"/>
      <c r="K25" s="25">
        <v>19</v>
      </c>
      <c r="L25" s="25" t="s">
        <v>1270</v>
      </c>
      <c r="M25" s="25" t="s">
        <v>1271</v>
      </c>
      <c r="N25" s="25" t="s">
        <v>254</v>
      </c>
      <c r="O25" s="25">
        <v>0</v>
      </c>
      <c r="P25" s="25" t="s">
        <v>224</v>
      </c>
    </row>
    <row r="26" spans="3:16" s="74" customFormat="1" x14ac:dyDescent="0.15">
      <c r="C26" s="25">
        <v>20</v>
      </c>
      <c r="D26" s="25">
        <v>0</v>
      </c>
      <c r="E26" s="25" t="s">
        <v>1272</v>
      </c>
      <c r="F26" s="25" t="s">
        <v>35</v>
      </c>
      <c r="G26" s="25"/>
      <c r="H26" s="25" t="s">
        <v>764</v>
      </c>
      <c r="I26" s="25"/>
      <c r="K26" s="25">
        <v>20</v>
      </c>
      <c r="L26" s="25" t="s">
        <v>1273</v>
      </c>
      <c r="M26" s="25" t="s">
        <v>1274</v>
      </c>
      <c r="N26" s="25" t="s">
        <v>35</v>
      </c>
      <c r="O26" s="25">
        <v>0</v>
      </c>
      <c r="P26" s="25" t="s">
        <v>224</v>
      </c>
    </row>
    <row r="27" spans="3:16" s="74" customFormat="1" x14ac:dyDescent="0.15">
      <c r="C27" s="25">
        <v>21</v>
      </c>
      <c r="D27" s="25">
        <v>0</v>
      </c>
      <c r="E27" s="25" t="s">
        <v>1275</v>
      </c>
      <c r="F27" s="25" t="s">
        <v>862</v>
      </c>
      <c r="G27" s="25"/>
      <c r="H27" s="25" t="s">
        <v>764</v>
      </c>
      <c r="I27" s="25"/>
      <c r="K27" s="25">
        <v>21</v>
      </c>
      <c r="L27" s="25" t="s">
        <v>1276</v>
      </c>
      <c r="M27" s="25" t="s">
        <v>1277</v>
      </c>
      <c r="N27" s="25" t="s">
        <v>254</v>
      </c>
      <c r="O27" s="25">
        <v>0</v>
      </c>
      <c r="P27" s="25" t="s">
        <v>224</v>
      </c>
    </row>
    <row r="28" spans="3:16" s="74" customFormat="1" x14ac:dyDescent="0.15">
      <c r="C28" s="25">
        <v>22</v>
      </c>
      <c r="D28" s="82" t="s">
        <v>860</v>
      </c>
      <c r="E28" s="25" t="s">
        <v>1278</v>
      </c>
      <c r="F28" s="25" t="s">
        <v>39</v>
      </c>
      <c r="G28" s="25">
        <v>20</v>
      </c>
      <c r="H28" s="25" t="s">
        <v>764</v>
      </c>
      <c r="I28" s="25"/>
      <c r="K28" s="25">
        <v>22</v>
      </c>
      <c r="L28" s="25" t="s">
        <v>1279</v>
      </c>
      <c r="M28" s="25" t="s">
        <v>1280</v>
      </c>
      <c r="N28" s="25" t="s">
        <v>254</v>
      </c>
      <c r="O28" s="25">
        <v>0</v>
      </c>
      <c r="P28" s="25" t="s">
        <v>224</v>
      </c>
    </row>
    <row r="29" spans="3:16" s="74" customFormat="1" x14ac:dyDescent="0.15">
      <c r="C29" s="25">
        <v>23</v>
      </c>
      <c r="D29" s="25">
        <v>0</v>
      </c>
      <c r="E29" s="25" t="s">
        <v>1281</v>
      </c>
      <c r="F29" s="25" t="s">
        <v>35</v>
      </c>
      <c r="G29" s="25"/>
      <c r="H29" s="25" t="s">
        <v>764</v>
      </c>
      <c r="I29" s="25"/>
      <c r="K29" s="25">
        <v>23</v>
      </c>
      <c r="L29" s="25" t="s">
        <v>1282</v>
      </c>
      <c r="M29" s="25" t="s">
        <v>1283</v>
      </c>
      <c r="N29" s="25" t="s">
        <v>35</v>
      </c>
      <c r="O29" s="25">
        <v>0</v>
      </c>
      <c r="P29" s="25" t="s">
        <v>224</v>
      </c>
    </row>
    <row r="30" spans="3:16" s="74" customFormat="1" x14ac:dyDescent="0.15">
      <c r="C30" s="25">
        <v>24</v>
      </c>
      <c r="D30" s="25">
        <v>0</v>
      </c>
      <c r="E30" s="25" t="s">
        <v>1284</v>
      </c>
      <c r="F30" s="25" t="s">
        <v>862</v>
      </c>
      <c r="G30" s="25"/>
      <c r="H30" s="25" t="s">
        <v>764</v>
      </c>
      <c r="I30" s="25"/>
      <c r="K30" s="25">
        <v>24</v>
      </c>
      <c r="L30" s="25" t="s">
        <v>1285</v>
      </c>
      <c r="M30" s="25" t="s">
        <v>1286</v>
      </c>
      <c r="N30" s="25" t="s">
        <v>254</v>
      </c>
      <c r="O30" s="25">
        <v>0</v>
      </c>
      <c r="P30" s="25" t="s">
        <v>224</v>
      </c>
    </row>
    <row r="31" spans="3:16" s="74" customFormat="1" x14ac:dyDescent="0.15">
      <c r="C31" s="25">
        <v>25</v>
      </c>
      <c r="D31" s="82" t="s">
        <v>860</v>
      </c>
      <c r="E31" s="25" t="s">
        <v>1287</v>
      </c>
      <c r="F31" s="25" t="s">
        <v>39</v>
      </c>
      <c r="G31" s="25">
        <v>20</v>
      </c>
      <c r="H31" s="25" t="s">
        <v>764</v>
      </c>
      <c r="I31" s="25"/>
      <c r="K31" s="25">
        <v>25</v>
      </c>
      <c r="L31" s="25" t="s">
        <v>1288</v>
      </c>
      <c r="M31" s="25" t="s">
        <v>1289</v>
      </c>
      <c r="N31" s="25" t="s">
        <v>254</v>
      </c>
      <c r="O31" s="25">
        <v>0</v>
      </c>
      <c r="P31" s="25" t="s">
        <v>224</v>
      </c>
    </row>
    <row r="32" spans="3:16" s="74" customFormat="1" x14ac:dyDescent="0.15">
      <c r="C32" s="25">
        <v>26</v>
      </c>
      <c r="D32" s="25">
        <v>0</v>
      </c>
      <c r="E32" s="25" t="s">
        <v>1290</v>
      </c>
      <c r="F32" s="25" t="s">
        <v>35</v>
      </c>
      <c r="G32" s="25"/>
      <c r="H32" s="25" t="s">
        <v>764</v>
      </c>
      <c r="I32" s="25"/>
      <c r="K32" s="25">
        <v>26</v>
      </c>
      <c r="L32" s="25" t="s">
        <v>1291</v>
      </c>
      <c r="M32" s="25" t="s">
        <v>1292</v>
      </c>
      <c r="N32" s="25" t="s">
        <v>35</v>
      </c>
      <c r="O32" s="25">
        <v>0</v>
      </c>
      <c r="P32" s="25" t="s">
        <v>224</v>
      </c>
    </row>
    <row r="33" spans="3:16" s="74" customFormat="1" x14ac:dyDescent="0.15">
      <c r="C33" s="25">
        <v>27</v>
      </c>
      <c r="D33" s="25">
        <v>0</v>
      </c>
      <c r="E33" s="25" t="s">
        <v>1293</v>
      </c>
      <c r="F33" s="25" t="s">
        <v>862</v>
      </c>
      <c r="G33" s="25"/>
      <c r="H33" s="25" t="s">
        <v>764</v>
      </c>
      <c r="I33" s="25"/>
      <c r="K33" s="25">
        <v>27</v>
      </c>
      <c r="L33" s="25" t="s">
        <v>1294</v>
      </c>
      <c r="M33" s="25" t="s">
        <v>1295</v>
      </c>
      <c r="N33" s="25" t="s">
        <v>254</v>
      </c>
      <c r="O33" s="25">
        <v>0</v>
      </c>
      <c r="P33" s="25" t="s">
        <v>224</v>
      </c>
    </row>
    <row r="34" spans="3:16" s="74" customFormat="1" x14ac:dyDescent="0.15">
      <c r="C34" s="25">
        <v>28</v>
      </c>
      <c r="D34" s="82" t="s">
        <v>860</v>
      </c>
      <c r="E34" s="25" t="s">
        <v>1296</v>
      </c>
      <c r="F34" s="25" t="s">
        <v>39</v>
      </c>
      <c r="G34" s="25">
        <v>20</v>
      </c>
      <c r="H34" s="25" t="s">
        <v>764</v>
      </c>
      <c r="I34" s="25"/>
      <c r="K34" s="25">
        <v>28</v>
      </c>
      <c r="L34" s="25" t="s">
        <v>1297</v>
      </c>
      <c r="M34" s="25" t="s">
        <v>1298</v>
      </c>
      <c r="N34" s="25" t="s">
        <v>254</v>
      </c>
      <c r="O34" s="25">
        <v>0</v>
      </c>
      <c r="P34" s="25" t="s">
        <v>224</v>
      </c>
    </row>
    <row r="35" spans="3:16" s="74" customFormat="1" x14ac:dyDescent="0.15">
      <c r="C35" s="25">
        <v>29</v>
      </c>
      <c r="D35" s="25">
        <v>0</v>
      </c>
      <c r="E35" s="25" t="s">
        <v>1299</v>
      </c>
      <c r="F35" s="25" t="s">
        <v>35</v>
      </c>
      <c r="G35" s="25"/>
      <c r="H35" s="25" t="s">
        <v>764</v>
      </c>
      <c r="I35" s="25"/>
      <c r="K35" s="25">
        <v>29</v>
      </c>
      <c r="L35" s="25" t="s">
        <v>1300</v>
      </c>
      <c r="M35" s="25" t="s">
        <v>1301</v>
      </c>
      <c r="N35" s="25" t="s">
        <v>35</v>
      </c>
      <c r="O35" s="25">
        <v>0</v>
      </c>
      <c r="P35" s="25" t="s">
        <v>224</v>
      </c>
    </row>
    <row r="36" spans="3:16" s="74" customFormat="1" x14ac:dyDescent="0.15">
      <c r="C36" s="25">
        <v>30</v>
      </c>
      <c r="D36" s="25">
        <v>0</v>
      </c>
      <c r="E36" s="25" t="s">
        <v>1302</v>
      </c>
      <c r="F36" s="25" t="s">
        <v>862</v>
      </c>
      <c r="G36" s="25"/>
      <c r="H36" s="25" t="s">
        <v>764</v>
      </c>
      <c r="I36" s="25"/>
      <c r="K36" s="25">
        <v>30</v>
      </c>
      <c r="L36" s="25" t="s">
        <v>1303</v>
      </c>
      <c r="M36" s="25" t="s">
        <v>1304</v>
      </c>
      <c r="N36" s="25" t="s">
        <v>254</v>
      </c>
      <c r="O36" s="25">
        <v>0</v>
      </c>
      <c r="P36" s="25" t="s">
        <v>224</v>
      </c>
    </row>
    <row r="37" spans="3:16" s="74" customFormat="1" x14ac:dyDescent="0.15">
      <c r="C37" s="25">
        <v>31</v>
      </c>
      <c r="D37" s="82" t="s">
        <v>860</v>
      </c>
      <c r="E37" s="25" t="s">
        <v>1305</v>
      </c>
      <c r="F37" s="25" t="s">
        <v>39</v>
      </c>
      <c r="G37" s="25">
        <v>20</v>
      </c>
      <c r="H37" s="25" t="s">
        <v>764</v>
      </c>
      <c r="I37" s="25"/>
      <c r="K37" s="25">
        <v>31</v>
      </c>
      <c r="L37" s="25" t="s">
        <v>1306</v>
      </c>
      <c r="M37" s="25" t="s">
        <v>1307</v>
      </c>
      <c r="N37" s="25" t="s">
        <v>254</v>
      </c>
      <c r="O37" s="25">
        <v>0</v>
      </c>
      <c r="P37" s="25" t="s">
        <v>224</v>
      </c>
    </row>
    <row r="38" spans="3:16" s="74" customFormat="1" x14ac:dyDescent="0.15">
      <c r="C38" s="25">
        <v>32</v>
      </c>
      <c r="D38" s="25" t="s">
        <v>845</v>
      </c>
      <c r="E38" s="25" t="s">
        <v>846</v>
      </c>
      <c r="F38" s="25" t="s">
        <v>35</v>
      </c>
      <c r="G38" s="25"/>
      <c r="H38" s="25" t="s">
        <v>764</v>
      </c>
      <c r="I38" s="25"/>
      <c r="K38" s="25">
        <v>32</v>
      </c>
      <c r="L38" s="25" t="s">
        <v>847</v>
      </c>
      <c r="M38" s="25" t="s">
        <v>753</v>
      </c>
      <c r="N38" s="25" t="s">
        <v>35</v>
      </c>
      <c r="O38" s="25">
        <v>0</v>
      </c>
      <c r="P38" s="25" t="s">
        <v>643</v>
      </c>
    </row>
    <row r="39" spans="3:16" s="74" customFormat="1" x14ac:dyDescent="0.15">
      <c r="C39" s="25">
        <v>33</v>
      </c>
      <c r="D39" s="25" t="s">
        <v>848</v>
      </c>
      <c r="E39" s="25" t="s">
        <v>849</v>
      </c>
      <c r="F39" s="25" t="s">
        <v>39</v>
      </c>
      <c r="G39" s="25">
        <v>20</v>
      </c>
      <c r="H39" s="25" t="s">
        <v>764</v>
      </c>
      <c r="I39" s="25"/>
      <c r="K39" s="25">
        <v>33</v>
      </c>
      <c r="L39" s="25" t="s">
        <v>850</v>
      </c>
      <c r="M39" s="25" t="s">
        <v>757</v>
      </c>
      <c r="N39" s="25" t="s">
        <v>832</v>
      </c>
      <c r="O39" s="25">
        <v>0</v>
      </c>
      <c r="P39" s="25" t="s">
        <v>643</v>
      </c>
    </row>
    <row r="40" spans="3:16" s="74" customFormat="1" x14ac:dyDescent="0.15">
      <c r="C40" s="25">
        <v>34</v>
      </c>
      <c r="D40" s="25" t="s">
        <v>760</v>
      </c>
      <c r="E40" s="25" t="s">
        <v>851</v>
      </c>
      <c r="F40" s="25" t="s">
        <v>35</v>
      </c>
      <c r="G40" s="25"/>
      <c r="H40" s="25" t="s">
        <v>764</v>
      </c>
      <c r="I40" s="25"/>
      <c r="K40" s="25">
        <v>34</v>
      </c>
      <c r="L40" s="25" t="s">
        <v>852</v>
      </c>
      <c r="M40" s="25" t="s">
        <v>754</v>
      </c>
      <c r="N40" s="25" t="s">
        <v>35</v>
      </c>
      <c r="O40" s="25">
        <v>0</v>
      </c>
      <c r="P40" s="25" t="s">
        <v>643</v>
      </c>
    </row>
    <row r="41" spans="3:16" s="74" customFormat="1" x14ac:dyDescent="0.15">
      <c r="C41" s="25">
        <v>35</v>
      </c>
      <c r="D41" s="25" t="s">
        <v>761</v>
      </c>
      <c r="E41" s="25" t="s">
        <v>853</v>
      </c>
      <c r="F41" s="25" t="s">
        <v>39</v>
      </c>
      <c r="G41" s="25">
        <v>20</v>
      </c>
      <c r="H41" s="25" t="s">
        <v>764</v>
      </c>
      <c r="I41" s="25"/>
      <c r="K41" s="25">
        <v>35</v>
      </c>
      <c r="L41" s="25" t="s">
        <v>854</v>
      </c>
      <c r="M41" s="25" t="s">
        <v>758</v>
      </c>
      <c r="N41" s="25" t="s">
        <v>832</v>
      </c>
      <c r="O41" s="25">
        <v>0</v>
      </c>
      <c r="P41" s="25" t="s">
        <v>643</v>
      </c>
    </row>
    <row r="42" spans="3:16" s="74" customFormat="1" x14ac:dyDescent="0.15">
      <c r="C42" s="25">
        <v>36</v>
      </c>
      <c r="D42" s="25" t="s">
        <v>762</v>
      </c>
      <c r="E42" s="25" t="s">
        <v>855</v>
      </c>
      <c r="F42" s="25" t="s">
        <v>35</v>
      </c>
      <c r="G42" s="25"/>
      <c r="H42" s="25" t="s">
        <v>764</v>
      </c>
      <c r="I42" s="25"/>
      <c r="K42" s="25">
        <v>36</v>
      </c>
      <c r="L42" s="25" t="s">
        <v>856</v>
      </c>
      <c r="M42" s="25" t="s">
        <v>755</v>
      </c>
      <c r="N42" s="25" t="s">
        <v>35</v>
      </c>
      <c r="O42" s="25">
        <v>0</v>
      </c>
      <c r="P42" s="25" t="s">
        <v>643</v>
      </c>
    </row>
    <row r="43" spans="3:16" s="74" customFormat="1" x14ac:dyDescent="0.15">
      <c r="C43" s="25">
        <v>37</v>
      </c>
      <c r="D43" s="25" t="s">
        <v>763</v>
      </c>
      <c r="E43" s="25" t="s">
        <v>857</v>
      </c>
      <c r="F43" s="25" t="s">
        <v>39</v>
      </c>
      <c r="G43" s="25">
        <v>20</v>
      </c>
      <c r="H43" s="25" t="s">
        <v>764</v>
      </c>
      <c r="I43" s="25"/>
      <c r="K43" s="25">
        <v>37</v>
      </c>
      <c r="L43" s="25" t="s">
        <v>858</v>
      </c>
      <c r="M43" s="25" t="s">
        <v>759</v>
      </c>
      <c r="N43" s="25" t="s">
        <v>832</v>
      </c>
      <c r="O43" s="25">
        <v>0</v>
      </c>
      <c r="P43" s="25" t="s">
        <v>643</v>
      </c>
    </row>
    <row r="44" spans="3:16" s="74" customFormat="1" x14ac:dyDescent="0.15">
      <c r="C44" s="25">
        <v>38</v>
      </c>
      <c r="D44" s="25">
        <v>0</v>
      </c>
      <c r="E44" s="25" t="s">
        <v>1308</v>
      </c>
      <c r="F44" s="25" t="s">
        <v>35</v>
      </c>
      <c r="G44" s="25"/>
      <c r="H44" s="25" t="s">
        <v>764</v>
      </c>
      <c r="I44" s="25"/>
      <c r="K44" s="25">
        <v>38</v>
      </c>
      <c r="L44" s="25" t="s">
        <v>1309</v>
      </c>
      <c r="M44" s="25" t="s">
        <v>1310</v>
      </c>
      <c r="N44" s="25" t="s">
        <v>35</v>
      </c>
      <c r="O44" s="25">
        <v>0</v>
      </c>
      <c r="P44" s="25" t="s">
        <v>224</v>
      </c>
    </row>
    <row r="45" spans="3:16" s="74" customFormat="1" x14ac:dyDescent="0.15">
      <c r="C45" s="25">
        <v>39</v>
      </c>
      <c r="D45" s="82" t="s">
        <v>860</v>
      </c>
      <c r="E45" s="25" t="s">
        <v>1311</v>
      </c>
      <c r="F45" s="25" t="s">
        <v>39</v>
      </c>
      <c r="G45" s="25">
        <v>20</v>
      </c>
      <c r="H45" s="25" t="s">
        <v>764</v>
      </c>
      <c r="I45" s="25"/>
      <c r="K45" s="25">
        <v>39</v>
      </c>
      <c r="L45" s="25" t="s">
        <v>1312</v>
      </c>
      <c r="M45" s="25" t="s">
        <v>1313</v>
      </c>
      <c r="N45" s="25" t="s">
        <v>254</v>
      </c>
      <c r="O45" s="25">
        <v>0</v>
      </c>
      <c r="P45" s="25" t="s">
        <v>224</v>
      </c>
    </row>
    <row r="46" spans="3:16" s="74" customFormat="1" x14ac:dyDescent="0.15">
      <c r="C46" s="25">
        <v>40</v>
      </c>
      <c r="D46" s="25">
        <v>0</v>
      </c>
      <c r="E46" s="25" t="s">
        <v>1314</v>
      </c>
      <c r="F46" s="25" t="s">
        <v>35</v>
      </c>
      <c r="G46" s="25"/>
      <c r="H46" s="25" t="s">
        <v>764</v>
      </c>
      <c r="I46" s="25"/>
      <c r="K46" s="25">
        <v>40</v>
      </c>
      <c r="L46" s="25" t="s">
        <v>1315</v>
      </c>
      <c r="M46" s="25" t="s">
        <v>1316</v>
      </c>
      <c r="N46" s="25" t="s">
        <v>35</v>
      </c>
      <c r="O46" s="25">
        <v>0</v>
      </c>
      <c r="P46" s="25" t="s">
        <v>224</v>
      </c>
    </row>
    <row r="47" spans="3:16" s="74" customFormat="1" x14ac:dyDescent="0.15">
      <c r="C47" s="25">
        <v>41</v>
      </c>
      <c r="D47" s="82" t="s">
        <v>860</v>
      </c>
      <c r="E47" s="25" t="s">
        <v>1317</v>
      </c>
      <c r="F47" s="25" t="s">
        <v>39</v>
      </c>
      <c r="G47" s="25">
        <v>20</v>
      </c>
      <c r="H47" s="25" t="s">
        <v>764</v>
      </c>
      <c r="I47" s="25"/>
      <c r="K47" s="25">
        <v>41</v>
      </c>
      <c r="L47" s="25" t="s">
        <v>1318</v>
      </c>
      <c r="M47" s="25" t="s">
        <v>1319</v>
      </c>
      <c r="N47" s="25" t="s">
        <v>254</v>
      </c>
      <c r="O47" s="25">
        <v>0</v>
      </c>
      <c r="P47" s="25" t="s">
        <v>224</v>
      </c>
    </row>
    <row r="48" spans="3:16" s="74" customFormat="1" x14ac:dyDescent="0.15">
      <c r="C48" s="25">
        <v>42</v>
      </c>
      <c r="D48" s="25">
        <v>0</v>
      </c>
      <c r="E48" s="25" t="s">
        <v>1320</v>
      </c>
      <c r="F48" s="25" t="s">
        <v>35</v>
      </c>
      <c r="G48" s="25"/>
      <c r="H48" s="25" t="s">
        <v>764</v>
      </c>
      <c r="I48" s="25"/>
      <c r="K48" s="25">
        <v>42</v>
      </c>
      <c r="L48" s="25" t="s">
        <v>1321</v>
      </c>
      <c r="M48" s="25" t="s">
        <v>1322</v>
      </c>
      <c r="N48" s="25" t="s">
        <v>35</v>
      </c>
      <c r="O48" s="25">
        <v>0</v>
      </c>
      <c r="P48" s="25" t="s">
        <v>224</v>
      </c>
    </row>
    <row r="49" spans="3:16" s="74" customFormat="1" x14ac:dyDescent="0.15">
      <c r="C49" s="25">
        <v>43</v>
      </c>
      <c r="D49" s="82" t="s">
        <v>860</v>
      </c>
      <c r="E49" s="25" t="s">
        <v>1323</v>
      </c>
      <c r="F49" s="25" t="s">
        <v>39</v>
      </c>
      <c r="G49" s="25">
        <v>20</v>
      </c>
      <c r="H49" s="25" t="s">
        <v>764</v>
      </c>
      <c r="I49" s="25"/>
      <c r="K49" s="25">
        <v>43</v>
      </c>
      <c r="L49" s="25" t="s">
        <v>1324</v>
      </c>
      <c r="M49" s="25" t="s">
        <v>1325</v>
      </c>
      <c r="N49" s="25" t="s">
        <v>254</v>
      </c>
      <c r="O49" s="25">
        <v>0</v>
      </c>
      <c r="P49" s="25" t="s">
        <v>224</v>
      </c>
    </row>
    <row r="50" spans="3:16" s="74" customFormat="1" x14ac:dyDescent="0.15">
      <c r="C50" s="25">
        <v>44</v>
      </c>
      <c r="D50" s="25">
        <v>0</v>
      </c>
      <c r="E50" s="25" t="s">
        <v>1326</v>
      </c>
      <c r="F50" s="25" t="s">
        <v>35</v>
      </c>
      <c r="G50" s="25"/>
      <c r="H50" s="25" t="s">
        <v>764</v>
      </c>
      <c r="I50" s="25"/>
      <c r="K50" s="25">
        <v>44</v>
      </c>
      <c r="L50" s="25" t="s">
        <v>1327</v>
      </c>
      <c r="M50" s="25" t="s">
        <v>1328</v>
      </c>
      <c r="N50" s="25" t="s">
        <v>35</v>
      </c>
      <c r="O50" s="25">
        <v>0</v>
      </c>
      <c r="P50" s="25" t="s">
        <v>224</v>
      </c>
    </row>
    <row r="51" spans="3:16" s="74" customFormat="1" x14ac:dyDescent="0.15">
      <c r="C51" s="25">
        <v>45</v>
      </c>
      <c r="D51" s="82" t="s">
        <v>860</v>
      </c>
      <c r="E51" s="25" t="s">
        <v>1329</v>
      </c>
      <c r="F51" s="25" t="s">
        <v>39</v>
      </c>
      <c r="G51" s="25">
        <v>20</v>
      </c>
      <c r="H51" s="25" t="s">
        <v>764</v>
      </c>
      <c r="I51" s="25"/>
      <c r="K51" s="25">
        <v>45</v>
      </c>
      <c r="L51" s="25" t="s">
        <v>1330</v>
      </c>
      <c r="M51" s="25" t="s">
        <v>1331</v>
      </c>
      <c r="N51" s="25" t="s">
        <v>254</v>
      </c>
      <c r="O51" s="25">
        <v>0</v>
      </c>
      <c r="P51" s="25" t="s">
        <v>224</v>
      </c>
    </row>
    <row r="52" spans="3:16" s="74" customFormat="1" x14ac:dyDescent="0.15">
      <c r="C52" s="25">
        <v>46</v>
      </c>
      <c r="D52" s="25">
        <v>0</v>
      </c>
      <c r="E52" s="25" t="s">
        <v>1332</v>
      </c>
      <c r="F52" s="25" t="s">
        <v>35</v>
      </c>
      <c r="G52" s="25"/>
      <c r="H52" s="25" t="s">
        <v>764</v>
      </c>
      <c r="I52" s="25"/>
      <c r="K52" s="25">
        <v>46</v>
      </c>
      <c r="L52" s="25" t="s">
        <v>1333</v>
      </c>
      <c r="M52" s="25" t="s">
        <v>1334</v>
      </c>
      <c r="N52" s="25" t="s">
        <v>35</v>
      </c>
      <c r="O52" s="25">
        <v>0</v>
      </c>
      <c r="P52" s="25" t="s">
        <v>224</v>
      </c>
    </row>
    <row r="53" spans="3:16" s="74" customFormat="1" x14ac:dyDescent="0.15">
      <c r="C53" s="25">
        <v>47</v>
      </c>
      <c r="D53" s="82" t="s">
        <v>860</v>
      </c>
      <c r="E53" s="25" t="s">
        <v>1335</v>
      </c>
      <c r="F53" s="25" t="s">
        <v>39</v>
      </c>
      <c r="G53" s="25">
        <v>20</v>
      </c>
      <c r="H53" s="25" t="s">
        <v>764</v>
      </c>
      <c r="I53" s="25"/>
      <c r="K53" s="25">
        <v>47</v>
      </c>
      <c r="L53" s="25" t="s">
        <v>1336</v>
      </c>
      <c r="M53" s="25" t="s">
        <v>1337</v>
      </c>
      <c r="N53" s="25" t="s">
        <v>254</v>
      </c>
      <c r="O53" s="25">
        <v>0</v>
      </c>
      <c r="P53" s="25" t="s">
        <v>224</v>
      </c>
    </row>
    <row r="54" spans="3:16" s="74" customFormat="1" x14ac:dyDescent="0.15">
      <c r="C54" s="25">
        <v>48</v>
      </c>
      <c r="D54" s="25">
        <v>0</v>
      </c>
      <c r="E54" s="25" t="s">
        <v>1338</v>
      </c>
      <c r="F54" s="25" t="s">
        <v>35</v>
      </c>
      <c r="G54" s="25"/>
      <c r="H54" s="25" t="s">
        <v>764</v>
      </c>
      <c r="I54" s="25"/>
      <c r="K54" s="25">
        <v>48</v>
      </c>
      <c r="L54" s="25" t="s">
        <v>1339</v>
      </c>
      <c r="M54" s="25" t="s">
        <v>1340</v>
      </c>
      <c r="N54" s="25" t="s">
        <v>35</v>
      </c>
      <c r="O54" s="25">
        <v>0</v>
      </c>
      <c r="P54" s="25" t="s">
        <v>224</v>
      </c>
    </row>
    <row r="55" spans="3:16" s="74" customFormat="1" x14ac:dyDescent="0.15">
      <c r="C55" s="25">
        <v>49</v>
      </c>
      <c r="D55" s="82" t="s">
        <v>860</v>
      </c>
      <c r="E55" s="25" t="s">
        <v>1341</v>
      </c>
      <c r="F55" s="25" t="s">
        <v>39</v>
      </c>
      <c r="G55" s="25">
        <v>20</v>
      </c>
      <c r="H55" s="25" t="s">
        <v>764</v>
      </c>
      <c r="I55" s="25"/>
      <c r="K55" s="25">
        <v>49</v>
      </c>
      <c r="L55" s="25" t="s">
        <v>1342</v>
      </c>
      <c r="M55" s="25" t="s">
        <v>1343</v>
      </c>
      <c r="N55" s="25" t="s">
        <v>254</v>
      </c>
      <c r="O55" s="25">
        <v>0</v>
      </c>
      <c r="P55" s="25" t="s">
        <v>224</v>
      </c>
    </row>
    <row r="56" spans="3:16" s="74" customFormat="1" x14ac:dyDescent="0.15">
      <c r="C56" s="25">
        <v>50</v>
      </c>
      <c r="D56" s="25">
        <v>0</v>
      </c>
      <c r="E56" s="25" t="s">
        <v>1344</v>
      </c>
      <c r="F56" s="25" t="s">
        <v>35</v>
      </c>
      <c r="G56" s="25"/>
      <c r="H56" s="25" t="s">
        <v>764</v>
      </c>
      <c r="I56" s="25"/>
      <c r="K56" s="25">
        <v>50</v>
      </c>
      <c r="L56" s="25" t="s">
        <v>1345</v>
      </c>
      <c r="M56" s="25" t="s">
        <v>1346</v>
      </c>
      <c r="N56" s="25" t="s">
        <v>35</v>
      </c>
      <c r="O56" s="25">
        <v>0</v>
      </c>
      <c r="P56" s="25" t="s">
        <v>224</v>
      </c>
    </row>
    <row r="57" spans="3:16" s="74" customFormat="1" x14ac:dyDescent="0.15">
      <c r="C57" s="25">
        <v>51</v>
      </c>
      <c r="D57" s="82" t="s">
        <v>860</v>
      </c>
      <c r="E57" s="25" t="s">
        <v>1347</v>
      </c>
      <c r="F57" s="25" t="s">
        <v>39</v>
      </c>
      <c r="G57" s="25">
        <v>20</v>
      </c>
      <c r="H57" s="25" t="s">
        <v>764</v>
      </c>
      <c r="I57" s="25"/>
      <c r="K57" s="25">
        <v>51</v>
      </c>
      <c r="L57" s="25" t="s">
        <v>1348</v>
      </c>
      <c r="M57" s="25" t="s">
        <v>1349</v>
      </c>
      <c r="N57" s="25" t="s">
        <v>254</v>
      </c>
      <c r="O57" s="25">
        <v>0</v>
      </c>
      <c r="P57" s="25" t="s">
        <v>224</v>
      </c>
    </row>
    <row r="58" spans="3:16" s="74" customFormat="1" x14ac:dyDescent="0.15">
      <c r="C58" s="25">
        <v>52</v>
      </c>
      <c r="D58" s="25">
        <v>0</v>
      </c>
      <c r="E58" s="25" t="s">
        <v>1350</v>
      </c>
      <c r="F58" s="25" t="s">
        <v>35</v>
      </c>
      <c r="G58" s="25"/>
      <c r="H58" s="25" t="s">
        <v>764</v>
      </c>
      <c r="I58" s="25"/>
      <c r="K58" s="25">
        <v>52</v>
      </c>
      <c r="L58" s="25" t="s">
        <v>1351</v>
      </c>
      <c r="M58" s="25" t="s">
        <v>1352</v>
      </c>
      <c r="N58" s="25" t="s">
        <v>35</v>
      </c>
      <c r="O58" s="25">
        <v>0</v>
      </c>
      <c r="P58" s="25" t="s">
        <v>224</v>
      </c>
    </row>
    <row r="59" spans="3:16" s="74" customFormat="1" x14ac:dyDescent="0.15">
      <c r="C59" s="25">
        <v>53</v>
      </c>
      <c r="D59" s="82" t="s">
        <v>860</v>
      </c>
      <c r="E59" s="25" t="s">
        <v>1353</v>
      </c>
      <c r="F59" s="25" t="s">
        <v>39</v>
      </c>
      <c r="G59" s="25">
        <v>20</v>
      </c>
      <c r="H59" s="25" t="s">
        <v>764</v>
      </c>
      <c r="I59" s="25"/>
      <c r="K59" s="25">
        <v>53</v>
      </c>
      <c r="L59" s="25" t="s">
        <v>1354</v>
      </c>
      <c r="M59" s="25" t="s">
        <v>1355</v>
      </c>
      <c r="N59" s="25" t="s">
        <v>254</v>
      </c>
      <c r="O59" s="25">
        <v>0</v>
      </c>
      <c r="P59" s="25" t="s">
        <v>224</v>
      </c>
    </row>
    <row r="60" spans="3:16" s="74" customFormat="1" x14ac:dyDescent="0.15">
      <c r="C60" s="25">
        <v>54</v>
      </c>
      <c r="D60" s="25">
        <v>0</v>
      </c>
      <c r="E60" s="25" t="s">
        <v>1356</v>
      </c>
      <c r="F60" s="25" t="s">
        <v>35</v>
      </c>
      <c r="G60" s="25"/>
      <c r="H60" s="25" t="s">
        <v>764</v>
      </c>
      <c r="I60" s="25"/>
      <c r="K60" s="25">
        <v>54</v>
      </c>
      <c r="L60" s="25" t="s">
        <v>1357</v>
      </c>
      <c r="M60" s="25" t="s">
        <v>1358</v>
      </c>
      <c r="N60" s="25" t="s">
        <v>35</v>
      </c>
      <c r="O60" s="25">
        <v>0</v>
      </c>
      <c r="P60" s="25" t="s">
        <v>224</v>
      </c>
    </row>
    <row r="61" spans="3:16" s="74" customFormat="1" x14ac:dyDescent="0.15">
      <c r="C61" s="25">
        <v>55</v>
      </c>
      <c r="D61" s="82" t="s">
        <v>860</v>
      </c>
      <c r="E61" s="25" t="s">
        <v>1359</v>
      </c>
      <c r="F61" s="25" t="s">
        <v>39</v>
      </c>
      <c r="G61" s="25">
        <v>21</v>
      </c>
      <c r="H61" s="25" t="s">
        <v>764</v>
      </c>
      <c r="I61" s="25"/>
      <c r="K61" s="25">
        <v>55</v>
      </c>
      <c r="L61" s="25" t="s">
        <v>1360</v>
      </c>
      <c r="M61" s="25" t="s">
        <v>1361</v>
      </c>
      <c r="N61" s="25" t="s">
        <v>254</v>
      </c>
      <c r="O61" s="25">
        <v>0</v>
      </c>
      <c r="P61" s="25" t="s">
        <v>224</v>
      </c>
    </row>
    <row r="62" spans="3:16" s="74" customFormat="1" x14ac:dyDescent="0.15">
      <c r="C62" s="25">
        <v>56</v>
      </c>
      <c r="D62" s="25">
        <v>0</v>
      </c>
      <c r="E62" s="25" t="s">
        <v>1362</v>
      </c>
      <c r="F62" s="25" t="s">
        <v>35</v>
      </c>
      <c r="G62" s="25"/>
      <c r="H62" s="25" t="s">
        <v>764</v>
      </c>
      <c r="I62" s="25"/>
      <c r="K62" s="25">
        <v>56</v>
      </c>
      <c r="L62" s="25" t="s">
        <v>1363</v>
      </c>
      <c r="M62" s="25" t="s">
        <v>1364</v>
      </c>
      <c r="N62" s="25" t="s">
        <v>35</v>
      </c>
      <c r="O62" s="25">
        <v>0</v>
      </c>
      <c r="P62" s="25" t="s">
        <v>224</v>
      </c>
    </row>
    <row r="63" spans="3:16" s="74" customFormat="1" x14ac:dyDescent="0.15">
      <c r="C63" s="25">
        <v>57</v>
      </c>
      <c r="D63" s="82" t="s">
        <v>860</v>
      </c>
      <c r="E63" s="25" t="s">
        <v>1365</v>
      </c>
      <c r="F63" s="25" t="s">
        <v>39</v>
      </c>
      <c r="G63" s="25">
        <v>22</v>
      </c>
      <c r="H63" s="25" t="s">
        <v>764</v>
      </c>
      <c r="I63" s="25"/>
      <c r="K63" s="25">
        <v>57</v>
      </c>
      <c r="L63" s="25" t="s">
        <v>1366</v>
      </c>
      <c r="M63" s="25" t="s">
        <v>1367</v>
      </c>
      <c r="N63" s="25" t="s">
        <v>254</v>
      </c>
      <c r="O63" s="25">
        <v>0</v>
      </c>
      <c r="P63" s="25" t="s">
        <v>224</v>
      </c>
    </row>
    <row r="64" spans="3:16" s="74" customFormat="1" x14ac:dyDescent="0.15">
      <c r="C64" s="25">
        <v>58</v>
      </c>
      <c r="D64" s="25">
        <v>0</v>
      </c>
      <c r="E64" s="25" t="s">
        <v>1368</v>
      </c>
      <c r="F64" s="25" t="s">
        <v>35</v>
      </c>
      <c r="G64" s="25"/>
      <c r="H64" s="25" t="s">
        <v>764</v>
      </c>
      <c r="I64" s="25"/>
      <c r="K64" s="25">
        <v>58</v>
      </c>
      <c r="L64" s="25" t="s">
        <v>1369</v>
      </c>
      <c r="M64" s="25" t="s">
        <v>1370</v>
      </c>
      <c r="N64" s="25" t="s">
        <v>35</v>
      </c>
      <c r="O64" s="25">
        <v>0</v>
      </c>
      <c r="P64" s="25" t="s">
        <v>224</v>
      </c>
    </row>
    <row r="65" spans="3:16" s="74" customFormat="1" x14ac:dyDescent="0.15">
      <c r="C65" s="25">
        <v>59</v>
      </c>
      <c r="D65" s="82" t="s">
        <v>860</v>
      </c>
      <c r="E65" s="25" t="s">
        <v>1371</v>
      </c>
      <c r="F65" s="25" t="s">
        <v>39</v>
      </c>
      <c r="G65" s="25">
        <v>23</v>
      </c>
      <c r="H65" s="25" t="s">
        <v>764</v>
      </c>
      <c r="I65" s="25"/>
      <c r="K65" s="25">
        <v>59</v>
      </c>
      <c r="L65" s="25" t="s">
        <v>1372</v>
      </c>
      <c r="M65" s="25" t="s">
        <v>1373</v>
      </c>
      <c r="N65" s="25" t="s">
        <v>254</v>
      </c>
      <c r="O65" s="25">
        <v>0</v>
      </c>
      <c r="P65" s="25" t="s">
        <v>224</v>
      </c>
    </row>
    <row r="66" spans="3:16" s="74" customFormat="1" x14ac:dyDescent="0.15">
      <c r="C66" s="25">
        <v>60</v>
      </c>
      <c r="D66" s="25">
        <v>0</v>
      </c>
      <c r="E66" s="25" t="s">
        <v>1374</v>
      </c>
      <c r="F66" s="25" t="s">
        <v>35</v>
      </c>
      <c r="G66" s="25"/>
      <c r="H66" s="25" t="s">
        <v>764</v>
      </c>
      <c r="I66" s="25"/>
      <c r="K66" s="25">
        <v>60</v>
      </c>
      <c r="L66" s="25" t="s">
        <v>1375</v>
      </c>
      <c r="M66" s="25" t="s">
        <v>1376</v>
      </c>
      <c r="N66" s="25" t="s">
        <v>35</v>
      </c>
      <c r="O66" s="25">
        <v>0</v>
      </c>
      <c r="P66" s="25" t="s">
        <v>224</v>
      </c>
    </row>
    <row r="67" spans="3:16" s="74" customFormat="1" x14ac:dyDescent="0.15">
      <c r="C67" s="25">
        <v>61</v>
      </c>
      <c r="D67" s="82" t="s">
        <v>860</v>
      </c>
      <c r="E67" s="25" t="s">
        <v>1377</v>
      </c>
      <c r="F67" s="25" t="s">
        <v>39</v>
      </c>
      <c r="G67" s="25">
        <v>24</v>
      </c>
      <c r="H67" s="25" t="s">
        <v>764</v>
      </c>
      <c r="I67" s="25"/>
      <c r="K67" s="25">
        <v>61</v>
      </c>
      <c r="L67" s="25" t="s">
        <v>1378</v>
      </c>
      <c r="M67" s="25" t="s">
        <v>1379</v>
      </c>
      <c r="N67" s="25" t="s">
        <v>254</v>
      </c>
      <c r="O67" s="25">
        <v>0</v>
      </c>
      <c r="P67" s="25" t="s">
        <v>224</v>
      </c>
    </row>
    <row r="68" spans="3:16" s="74" customFormat="1" x14ac:dyDescent="0.15">
      <c r="C68" s="25">
        <v>62</v>
      </c>
      <c r="D68" s="25">
        <v>0</v>
      </c>
      <c r="E68" s="25" t="s">
        <v>1380</v>
      </c>
      <c r="F68" s="25" t="s">
        <v>35</v>
      </c>
      <c r="G68" s="25"/>
      <c r="H68" s="25" t="s">
        <v>764</v>
      </c>
      <c r="I68" s="25"/>
      <c r="K68" s="25">
        <v>62</v>
      </c>
      <c r="L68" s="25" t="s">
        <v>1381</v>
      </c>
      <c r="M68" s="25" t="s">
        <v>1382</v>
      </c>
      <c r="N68" s="25" t="s">
        <v>35</v>
      </c>
      <c r="O68" s="25">
        <v>0</v>
      </c>
      <c r="P68" s="25" t="s">
        <v>224</v>
      </c>
    </row>
    <row r="69" spans="3:16" s="74" customFormat="1" x14ac:dyDescent="0.15">
      <c r="C69" s="25">
        <v>63</v>
      </c>
      <c r="D69" s="82" t="s">
        <v>860</v>
      </c>
      <c r="E69" s="25" t="s">
        <v>1383</v>
      </c>
      <c r="F69" s="25" t="s">
        <v>39</v>
      </c>
      <c r="G69" s="25">
        <v>25</v>
      </c>
      <c r="H69" s="25" t="s">
        <v>764</v>
      </c>
      <c r="I69" s="25"/>
      <c r="K69" s="25">
        <v>63</v>
      </c>
      <c r="L69" s="25" t="s">
        <v>1384</v>
      </c>
      <c r="M69" s="25" t="s">
        <v>1385</v>
      </c>
      <c r="N69" s="25" t="s">
        <v>254</v>
      </c>
      <c r="O69" s="25">
        <v>0</v>
      </c>
      <c r="P69" s="25" t="s">
        <v>224</v>
      </c>
    </row>
    <row r="70" spans="3:16" s="74" customFormat="1" x14ac:dyDescent="0.15">
      <c r="C70" s="25">
        <v>64</v>
      </c>
      <c r="D70" s="25">
        <v>0</v>
      </c>
      <c r="E70" s="25" t="s">
        <v>1386</v>
      </c>
      <c r="F70" s="25" t="s">
        <v>35</v>
      </c>
      <c r="G70" s="25"/>
      <c r="H70" s="25" t="s">
        <v>764</v>
      </c>
      <c r="I70" s="25"/>
      <c r="K70" s="25">
        <v>64</v>
      </c>
      <c r="L70" s="25" t="s">
        <v>1387</v>
      </c>
      <c r="M70" s="25" t="s">
        <v>1388</v>
      </c>
      <c r="N70" s="25" t="s">
        <v>35</v>
      </c>
      <c r="O70" s="25">
        <v>0</v>
      </c>
      <c r="P70" s="25" t="s">
        <v>224</v>
      </c>
    </row>
    <row r="71" spans="3:16" s="74" customFormat="1" x14ac:dyDescent="0.15">
      <c r="C71" s="25">
        <v>65</v>
      </c>
      <c r="D71" s="82" t="s">
        <v>860</v>
      </c>
      <c r="E71" s="25" t="s">
        <v>1389</v>
      </c>
      <c r="F71" s="25" t="s">
        <v>39</v>
      </c>
      <c r="G71" s="25">
        <v>26</v>
      </c>
      <c r="H71" s="25" t="s">
        <v>764</v>
      </c>
      <c r="I71" s="25"/>
      <c r="K71" s="25">
        <v>65</v>
      </c>
      <c r="L71" s="25" t="s">
        <v>1390</v>
      </c>
      <c r="M71" s="25" t="s">
        <v>1391</v>
      </c>
      <c r="N71" s="25" t="s">
        <v>254</v>
      </c>
      <c r="O71" s="25">
        <v>0</v>
      </c>
      <c r="P71" s="25" t="s">
        <v>224</v>
      </c>
    </row>
    <row r="72" spans="3:16" s="74" customFormat="1" x14ac:dyDescent="0.15">
      <c r="C72" s="25">
        <v>66</v>
      </c>
      <c r="D72" s="25">
        <v>0</v>
      </c>
      <c r="E72" s="25" t="s">
        <v>1392</v>
      </c>
      <c r="F72" s="25" t="s">
        <v>35</v>
      </c>
      <c r="G72" s="25"/>
      <c r="H72" s="25" t="s">
        <v>764</v>
      </c>
      <c r="I72" s="25"/>
      <c r="K72" s="25">
        <v>66</v>
      </c>
      <c r="L72" s="25" t="s">
        <v>1393</v>
      </c>
      <c r="M72" s="25" t="s">
        <v>1394</v>
      </c>
      <c r="N72" s="25" t="s">
        <v>35</v>
      </c>
      <c r="O72" s="25">
        <v>0</v>
      </c>
      <c r="P72" s="25" t="s">
        <v>224</v>
      </c>
    </row>
    <row r="73" spans="3:16" s="74" customFormat="1" x14ac:dyDescent="0.15">
      <c r="C73" s="25">
        <v>67</v>
      </c>
      <c r="D73" s="82" t="s">
        <v>860</v>
      </c>
      <c r="E73" s="25" t="s">
        <v>1395</v>
      </c>
      <c r="F73" s="25" t="s">
        <v>39</v>
      </c>
      <c r="G73" s="25">
        <v>27</v>
      </c>
      <c r="H73" s="25" t="s">
        <v>764</v>
      </c>
      <c r="I73" s="25"/>
      <c r="K73" s="25">
        <v>67</v>
      </c>
      <c r="L73" s="25" t="s">
        <v>1396</v>
      </c>
      <c r="M73" s="25" t="s">
        <v>1397</v>
      </c>
      <c r="N73" s="25" t="s">
        <v>254</v>
      </c>
      <c r="O73" s="25">
        <v>0</v>
      </c>
      <c r="P73" s="25" t="s">
        <v>224</v>
      </c>
    </row>
    <row r="74" spans="3:16" s="74" customFormat="1" x14ac:dyDescent="0.15">
      <c r="C74" s="25">
        <v>68</v>
      </c>
      <c r="D74" s="25">
        <v>0</v>
      </c>
      <c r="E74" s="25" t="s">
        <v>1398</v>
      </c>
      <c r="F74" s="25" t="s">
        <v>35</v>
      </c>
      <c r="G74" s="25"/>
      <c r="H74" s="25" t="s">
        <v>764</v>
      </c>
      <c r="I74" s="25"/>
      <c r="K74" s="25">
        <v>68</v>
      </c>
      <c r="L74" s="25" t="s">
        <v>1399</v>
      </c>
      <c r="M74" s="25" t="s">
        <v>1400</v>
      </c>
      <c r="N74" s="25" t="s">
        <v>35</v>
      </c>
      <c r="O74" s="25">
        <v>0</v>
      </c>
      <c r="P74" s="25" t="s">
        <v>224</v>
      </c>
    </row>
    <row r="75" spans="3:16" s="74" customFormat="1" x14ac:dyDescent="0.15">
      <c r="C75" s="25">
        <v>69</v>
      </c>
      <c r="D75" s="82" t="s">
        <v>860</v>
      </c>
      <c r="E75" s="25" t="s">
        <v>1401</v>
      </c>
      <c r="F75" s="25" t="s">
        <v>39</v>
      </c>
      <c r="G75" s="25">
        <v>28</v>
      </c>
      <c r="H75" s="25" t="s">
        <v>764</v>
      </c>
      <c r="I75" s="25"/>
      <c r="K75" s="25">
        <v>69</v>
      </c>
      <c r="L75" s="25" t="s">
        <v>1402</v>
      </c>
      <c r="M75" s="25" t="s">
        <v>1403</v>
      </c>
      <c r="N75" s="25" t="s">
        <v>254</v>
      </c>
      <c r="O75" s="25">
        <v>0</v>
      </c>
      <c r="P75" s="25" t="s">
        <v>224</v>
      </c>
    </row>
    <row r="76" spans="3:16" s="74" customFormat="1" x14ac:dyDescent="0.15">
      <c r="C76" s="25">
        <v>70</v>
      </c>
      <c r="D76" s="25">
        <v>0</v>
      </c>
      <c r="E76" s="25" t="s">
        <v>1404</v>
      </c>
      <c r="F76" s="25" t="s">
        <v>35</v>
      </c>
      <c r="G76" s="25"/>
      <c r="H76" s="25" t="s">
        <v>764</v>
      </c>
      <c r="I76" s="25"/>
      <c r="K76" s="25">
        <v>70</v>
      </c>
      <c r="L76" s="25" t="s">
        <v>1405</v>
      </c>
      <c r="M76" s="25" t="s">
        <v>1406</v>
      </c>
      <c r="N76" s="25" t="s">
        <v>35</v>
      </c>
      <c r="O76" s="25">
        <v>0</v>
      </c>
      <c r="P76" s="25" t="s">
        <v>224</v>
      </c>
    </row>
    <row r="77" spans="3:16" s="74" customFormat="1" x14ac:dyDescent="0.15">
      <c r="C77" s="25">
        <v>71</v>
      </c>
      <c r="D77" s="82" t="s">
        <v>860</v>
      </c>
      <c r="E77" s="25" t="s">
        <v>1407</v>
      </c>
      <c r="F77" s="25" t="s">
        <v>39</v>
      </c>
      <c r="G77" s="25">
        <v>29</v>
      </c>
      <c r="H77" s="25" t="s">
        <v>764</v>
      </c>
      <c r="I77" s="25"/>
      <c r="K77" s="25">
        <v>71</v>
      </c>
      <c r="L77" s="25" t="s">
        <v>1408</v>
      </c>
      <c r="M77" s="25" t="s">
        <v>1409</v>
      </c>
      <c r="N77" s="25" t="s">
        <v>254</v>
      </c>
      <c r="O77" s="25">
        <v>0</v>
      </c>
      <c r="P77" s="25" t="s">
        <v>224</v>
      </c>
    </row>
    <row r="78" spans="3:16" s="74" customFormat="1" x14ac:dyDescent="0.15">
      <c r="C78" s="25">
        <v>72</v>
      </c>
      <c r="D78" s="25" t="s">
        <v>804</v>
      </c>
      <c r="E78" s="25" t="s">
        <v>859</v>
      </c>
      <c r="F78" s="25" t="s">
        <v>35</v>
      </c>
      <c r="G78" s="25"/>
      <c r="H78" s="25" t="s">
        <v>764</v>
      </c>
      <c r="I78" s="25"/>
      <c r="K78" s="25">
        <v>72</v>
      </c>
      <c r="L78" s="25" t="s">
        <v>806</v>
      </c>
      <c r="M78" s="25" t="s">
        <v>805</v>
      </c>
      <c r="N78" s="25" t="s">
        <v>35</v>
      </c>
      <c r="O78" s="25">
        <v>0</v>
      </c>
      <c r="P78" s="25" t="s">
        <v>643</v>
      </c>
    </row>
    <row r="79" spans="3:16" s="74" customFormat="1" x14ac:dyDescent="0.15">
      <c r="C79" s="25">
        <v>73</v>
      </c>
      <c r="D79" s="25" t="s">
        <v>1539</v>
      </c>
      <c r="E79" s="25" t="s">
        <v>1410</v>
      </c>
      <c r="F79" s="25" t="s">
        <v>35</v>
      </c>
      <c r="G79" s="25"/>
      <c r="H79" s="25" t="s">
        <v>764</v>
      </c>
      <c r="I79" s="25"/>
      <c r="K79" s="25">
        <v>73</v>
      </c>
      <c r="L79" s="25" t="s">
        <v>1411</v>
      </c>
      <c r="M79" s="25" t="s">
        <v>1412</v>
      </c>
      <c r="N79" s="25" t="s">
        <v>35</v>
      </c>
      <c r="O79" s="25">
        <v>0</v>
      </c>
      <c r="P79" s="25" t="s">
        <v>224</v>
      </c>
    </row>
    <row r="80" spans="3:16" s="74" customFormat="1" x14ac:dyDescent="0.15">
      <c r="C80" s="25">
        <v>74</v>
      </c>
      <c r="D80" s="82" t="s">
        <v>1538</v>
      </c>
      <c r="E80" s="25" t="s">
        <v>1518</v>
      </c>
      <c r="F80" s="25" t="s">
        <v>1056</v>
      </c>
      <c r="G80" s="25">
        <v>1</v>
      </c>
      <c r="H80" s="25" t="s">
        <v>764</v>
      </c>
      <c r="I80" s="25"/>
      <c r="K80" s="25">
        <v>74</v>
      </c>
      <c r="L80" s="25" t="s">
        <v>1518</v>
      </c>
      <c r="M80" s="25" t="s">
        <v>1519</v>
      </c>
      <c r="N80" s="25" t="s">
        <v>254</v>
      </c>
      <c r="O80" s="25">
        <v>0</v>
      </c>
      <c r="P80" s="25" t="s">
        <v>224</v>
      </c>
    </row>
    <row r="81" spans="3:16" s="74" customFormat="1" x14ac:dyDescent="0.15">
      <c r="C81" s="25">
        <v>75</v>
      </c>
      <c r="D81" s="82" t="s">
        <v>1540</v>
      </c>
      <c r="E81" s="25" t="s">
        <v>1541</v>
      </c>
      <c r="F81" s="25" t="s">
        <v>35</v>
      </c>
      <c r="G81" s="25"/>
      <c r="H81" s="25" t="s">
        <v>764</v>
      </c>
      <c r="I81" s="25"/>
      <c r="K81" s="25">
        <v>75</v>
      </c>
      <c r="L81" s="25" t="s">
        <v>1541</v>
      </c>
      <c r="M81" s="25" t="s">
        <v>1542</v>
      </c>
      <c r="N81" s="25" t="s">
        <v>35</v>
      </c>
      <c r="O81" s="25">
        <v>0</v>
      </c>
      <c r="P81" s="25" t="s">
        <v>224</v>
      </c>
    </row>
    <row r="82" spans="3:16" s="74" customFormat="1" x14ac:dyDescent="0.15">
      <c r="C82" s="25">
        <v>76</v>
      </c>
      <c r="D82" s="82" t="s">
        <v>1543</v>
      </c>
      <c r="E82" s="25" t="s">
        <v>1544</v>
      </c>
      <c r="F82" s="25" t="s">
        <v>35</v>
      </c>
      <c r="G82" s="25"/>
      <c r="H82" s="25" t="s">
        <v>764</v>
      </c>
      <c r="I82" s="25"/>
      <c r="K82" s="25">
        <v>76</v>
      </c>
      <c r="L82" s="25" t="s">
        <v>1544</v>
      </c>
      <c r="M82" s="25" t="s">
        <v>1545</v>
      </c>
      <c r="N82" s="25" t="s">
        <v>35</v>
      </c>
      <c r="O82" s="25">
        <v>0</v>
      </c>
      <c r="P82" s="25" t="s">
        <v>224</v>
      </c>
    </row>
    <row r="83" spans="3:16" s="74" customFormat="1" x14ac:dyDescent="0.15">
      <c r="C83" s="25">
        <v>77</v>
      </c>
      <c r="D83" s="82" t="s">
        <v>1546</v>
      </c>
      <c r="E83" s="25" t="s">
        <v>1547</v>
      </c>
      <c r="F83" s="25" t="s">
        <v>35</v>
      </c>
      <c r="G83" s="25"/>
      <c r="H83" s="25" t="s">
        <v>764</v>
      </c>
      <c r="I83" s="25"/>
      <c r="K83" s="25">
        <v>77</v>
      </c>
      <c r="L83" s="25" t="s">
        <v>1547</v>
      </c>
      <c r="M83" s="25" t="s">
        <v>1548</v>
      </c>
      <c r="N83" s="25" t="s">
        <v>35</v>
      </c>
      <c r="O83" s="25">
        <v>0</v>
      </c>
      <c r="P83" s="25" t="s">
        <v>224</v>
      </c>
    </row>
    <row r="84" spans="3:16" s="74" customFormat="1" x14ac:dyDescent="0.15">
      <c r="C84" s="25">
        <v>78</v>
      </c>
      <c r="D84" s="82" t="s">
        <v>1549</v>
      </c>
      <c r="E84" s="25" t="s">
        <v>1550</v>
      </c>
      <c r="F84" s="25" t="s">
        <v>35</v>
      </c>
      <c r="G84" s="25"/>
      <c r="H84" s="25" t="s">
        <v>764</v>
      </c>
      <c r="I84" s="25"/>
      <c r="K84" s="25">
        <v>78</v>
      </c>
      <c r="L84" s="25" t="s">
        <v>1550</v>
      </c>
      <c r="M84" s="25" t="s">
        <v>1551</v>
      </c>
      <c r="N84" s="25" t="s">
        <v>35</v>
      </c>
      <c r="O84" s="25">
        <v>0</v>
      </c>
      <c r="P84" s="25" t="s">
        <v>224</v>
      </c>
    </row>
    <row r="85" spans="3:16" s="74" customFormat="1" x14ac:dyDescent="0.15">
      <c r="C85" s="25">
        <v>79</v>
      </c>
      <c r="D85" s="82" t="s">
        <v>1552</v>
      </c>
      <c r="E85" s="25" t="s">
        <v>1553</v>
      </c>
      <c r="F85" s="25" t="s">
        <v>35</v>
      </c>
      <c r="G85" s="25"/>
      <c r="H85" s="25" t="s">
        <v>764</v>
      </c>
      <c r="I85" s="25"/>
      <c r="K85" s="25">
        <v>79</v>
      </c>
      <c r="L85" s="25" t="s">
        <v>1553</v>
      </c>
      <c r="M85" s="25" t="s">
        <v>1554</v>
      </c>
      <c r="N85" s="25" t="s">
        <v>35</v>
      </c>
      <c r="O85" s="25">
        <v>0</v>
      </c>
      <c r="P85" s="25" t="s">
        <v>224</v>
      </c>
    </row>
    <row r="86" spans="3:16" s="74" customFormat="1" x14ac:dyDescent="0.15">
      <c r="C86" s="25">
        <v>80</v>
      </c>
      <c r="D86" s="82" t="s">
        <v>1556</v>
      </c>
      <c r="E86" s="25" t="s">
        <v>1557</v>
      </c>
      <c r="F86" s="25" t="s">
        <v>1558</v>
      </c>
      <c r="G86" s="25">
        <v>13</v>
      </c>
      <c r="H86" s="25" t="s">
        <v>764</v>
      </c>
      <c r="I86" s="25"/>
      <c r="K86" s="25">
        <v>80</v>
      </c>
      <c r="L86" s="25" t="s">
        <v>1557</v>
      </c>
      <c r="M86" s="25" t="s">
        <v>1559</v>
      </c>
      <c r="N86" s="25" t="s">
        <v>254</v>
      </c>
      <c r="O86" s="25">
        <v>0</v>
      </c>
      <c r="P86" s="25" t="s">
        <v>224</v>
      </c>
    </row>
    <row r="87" spans="3:16" s="74" customFormat="1" x14ac:dyDescent="0.15">
      <c r="C87" s="85">
        <v>81</v>
      </c>
      <c r="D87" s="86" t="s">
        <v>1538</v>
      </c>
      <c r="E87" s="85" t="s">
        <v>1563</v>
      </c>
      <c r="F87" s="85" t="s">
        <v>1056</v>
      </c>
      <c r="G87" s="85">
        <v>1</v>
      </c>
      <c r="H87" s="85" t="s">
        <v>764</v>
      </c>
      <c r="I87" s="85"/>
      <c r="J87" s="87"/>
      <c r="K87" s="85">
        <v>81</v>
      </c>
      <c r="L87" s="85" t="s">
        <v>1563</v>
      </c>
      <c r="M87" s="85" t="s">
        <v>1564</v>
      </c>
      <c r="N87" s="85" t="s">
        <v>254</v>
      </c>
      <c r="O87" s="85">
        <v>0</v>
      </c>
      <c r="P87" s="85" t="s">
        <v>224</v>
      </c>
    </row>
    <row r="88" spans="3:16" s="74" customFormat="1" x14ac:dyDescent="0.15"/>
    <row r="89" spans="3:16" s="74" customFormat="1" x14ac:dyDescent="0.15"/>
    <row r="90" spans="3:16" s="74" customFormat="1" x14ac:dyDescent="0.15"/>
    <row r="91" spans="3:16" s="74" customFormat="1" x14ac:dyDescent="0.15"/>
    <row r="92" spans="3:16" s="74" customFormat="1" x14ac:dyDescent="0.15"/>
    <row r="93" spans="3:16" s="74" customFormat="1" x14ac:dyDescent="0.15"/>
    <row r="94" spans="3:16" s="74" customFormat="1" x14ac:dyDescent="0.15"/>
    <row r="95" spans="3:16" s="74" customFormat="1" x14ac:dyDescent="0.15"/>
    <row r="96" spans="3:1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row r="710" s="74" customFormat="1" x14ac:dyDescent="0.15"/>
    <row r="711" s="74" customFormat="1" x14ac:dyDescent="0.15"/>
    <row r="712" s="74" customFormat="1" x14ac:dyDescent="0.15"/>
    <row r="713" s="74" customFormat="1" x14ac:dyDescent="0.15"/>
    <row r="714" s="74" customFormat="1" x14ac:dyDescent="0.15"/>
    <row r="715" s="74" customFormat="1" x14ac:dyDescent="0.15"/>
  </sheetData>
  <phoneticPr fontId="1"/>
  <hyperlinks>
    <hyperlink ref="C3" location="テーブルマッピング!A1" display="一覧へ戻る" xr:uid="{00000000-0004-0000-1000-000000000000}"/>
  </hyperlinks>
  <pageMargins left="0.70866141732283472" right="0.70866141732283472" top="0.74803149606299213" bottom="0.74803149606299213" header="0.31496062992125984" footer="0.31496062992125984"/>
  <pageSetup paperSize="9" fitToHeight="0" orientation="landscape" verticalDpi="300" r:id="rId1"/>
  <rowBreaks count="1" manualBreakCount="1">
    <brk id="39" max="15"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pageSetUpPr fitToPage="1"/>
  </sheetPr>
  <dimension ref="B2:P709"/>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4" bestFit="1" customWidth="1"/>
    <col min="6" max="6" width="8.25" bestFit="1" customWidth="1"/>
    <col min="7" max="7" width="5.375" bestFit="1" customWidth="1"/>
    <col min="8" max="8" width="6" bestFit="1" customWidth="1"/>
    <col min="9" max="9" width="35.75" hidden="1" customWidth="1"/>
    <col min="10" max="10" width="2.25" customWidth="1"/>
    <col min="11" max="11" width="3.875" bestFit="1" customWidth="1"/>
    <col min="12" max="12" width="15.125" bestFit="1" customWidth="1"/>
    <col min="13" max="13" width="17.125" bestFit="1" customWidth="1"/>
    <col min="14" max="14" width="7.375" bestFit="1" customWidth="1"/>
    <col min="15" max="15" width="9.25" bestFit="1" customWidth="1"/>
    <col min="16" max="16" width="11.75" bestFit="1" customWidth="1"/>
  </cols>
  <sheetData>
    <row r="2" spans="2:16" x14ac:dyDescent="0.15">
      <c r="B2" s="5" t="s">
        <v>797</v>
      </c>
      <c r="D2" s="2"/>
      <c r="E2" s="2"/>
    </row>
    <row r="3" spans="2:16" x14ac:dyDescent="0.15">
      <c r="C3" s="8" t="s">
        <v>172</v>
      </c>
      <c r="D3" s="2"/>
      <c r="E3" s="2"/>
    </row>
    <row r="4" spans="2:16" x14ac:dyDescent="0.15">
      <c r="C4" s="8"/>
      <c r="D4" s="2"/>
      <c r="E4" s="2"/>
    </row>
    <row r="5" spans="2:16" x14ac:dyDescent="0.15">
      <c r="C5" s="13" t="s">
        <v>181</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4" customFormat="1" x14ac:dyDescent="0.15">
      <c r="C7" s="25">
        <v>1</v>
      </c>
      <c r="D7" s="25" t="s">
        <v>800</v>
      </c>
      <c r="E7" s="25" t="s">
        <v>801</v>
      </c>
      <c r="F7" s="25" t="s">
        <v>39</v>
      </c>
      <c r="G7" s="25">
        <v>12</v>
      </c>
      <c r="H7" s="25" t="s">
        <v>765</v>
      </c>
      <c r="I7" s="25" t="s">
        <v>36</v>
      </c>
      <c r="K7" s="25">
        <v>1</v>
      </c>
      <c r="L7" s="25" t="s">
        <v>808</v>
      </c>
      <c r="M7" s="57" t="s">
        <v>807</v>
      </c>
      <c r="N7" s="25" t="s">
        <v>254</v>
      </c>
      <c r="O7" s="25">
        <v>1</v>
      </c>
      <c r="P7" s="25" t="s">
        <v>224</v>
      </c>
    </row>
    <row r="8" spans="2:16" s="74" customFormat="1" x14ac:dyDescent="0.15">
      <c r="C8" s="25">
        <v>2</v>
      </c>
      <c r="D8" s="25" t="s">
        <v>803</v>
      </c>
      <c r="E8" s="25" t="s">
        <v>802</v>
      </c>
      <c r="F8" s="25" t="s">
        <v>39</v>
      </c>
      <c r="G8" s="25">
        <v>20</v>
      </c>
      <c r="H8" s="25" t="s">
        <v>764</v>
      </c>
      <c r="I8" s="25"/>
      <c r="K8" s="25">
        <v>2</v>
      </c>
      <c r="L8" s="25" t="s">
        <v>810</v>
      </c>
      <c r="M8" s="25" t="s">
        <v>809</v>
      </c>
      <c r="N8" s="25" t="s">
        <v>254</v>
      </c>
      <c r="O8" s="25">
        <v>0</v>
      </c>
      <c r="P8" s="25" t="s">
        <v>224</v>
      </c>
    </row>
    <row r="9" spans="2:16" s="74" customFormat="1" x14ac:dyDescent="0.15"/>
    <row r="10" spans="2:16" s="74" customFormat="1" x14ac:dyDescent="0.15"/>
    <row r="11" spans="2:16" s="74" customFormat="1" x14ac:dyDescent="0.15"/>
    <row r="12" spans="2:16" s="74" customFormat="1" x14ac:dyDescent="0.15"/>
    <row r="13" spans="2:16" s="74" customFormat="1" x14ac:dyDescent="0.15"/>
    <row r="14" spans="2:16" s="74" customFormat="1" x14ac:dyDescent="0.15"/>
    <row r="15" spans="2:16" s="74" customFormat="1" x14ac:dyDescent="0.15"/>
    <row r="16" spans="2:16" s="74" customFormat="1" x14ac:dyDescent="0.15"/>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11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
    <pageSetUpPr fitToPage="1"/>
  </sheetPr>
  <dimension ref="B2:P709"/>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974</v>
      </c>
      <c r="D2" s="2"/>
      <c r="E2" s="2"/>
    </row>
    <row r="3" spans="2:16" x14ac:dyDescent="0.15">
      <c r="B3" s="8"/>
      <c r="C3" s="8" t="s">
        <v>172</v>
      </c>
      <c r="D3" s="2"/>
      <c r="E3" s="2"/>
    </row>
    <row r="4" spans="2:16" x14ac:dyDescent="0.15">
      <c r="B4" s="8"/>
      <c r="C4" s="8"/>
      <c r="D4" s="2"/>
      <c r="E4" s="2"/>
    </row>
    <row r="5" spans="2:16" x14ac:dyDescent="0.15">
      <c r="B5" s="8"/>
      <c r="C5" s="12" t="s">
        <v>891</v>
      </c>
      <c r="D5" s="6"/>
      <c r="E5" s="2"/>
      <c r="H5" s="19"/>
      <c r="K5" s="5" t="s">
        <v>890</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889</v>
      </c>
    </row>
    <row r="7" spans="2:16" s="74" customFormat="1" x14ac:dyDescent="0.15">
      <c r="C7" s="25">
        <v>1</v>
      </c>
      <c r="D7" s="25" t="s">
        <v>903</v>
      </c>
      <c r="E7" s="25" t="s">
        <v>875</v>
      </c>
      <c r="F7" s="25" t="s">
        <v>904</v>
      </c>
      <c r="G7" s="25"/>
      <c r="H7" s="25" t="s">
        <v>40</v>
      </c>
      <c r="I7" s="25"/>
      <c r="K7" s="25">
        <v>1</v>
      </c>
      <c r="L7" s="25" t="s">
        <v>875</v>
      </c>
      <c r="M7" s="25" t="s">
        <v>871</v>
      </c>
      <c r="N7" s="25" t="s">
        <v>35</v>
      </c>
      <c r="O7" s="25">
        <v>1</v>
      </c>
      <c r="P7" s="25" t="s">
        <v>905</v>
      </c>
    </row>
    <row r="8" spans="2:16" s="74" customFormat="1" x14ac:dyDescent="0.15">
      <c r="C8" s="25">
        <v>2</v>
      </c>
      <c r="D8" s="25" t="s">
        <v>906</v>
      </c>
      <c r="E8" s="25" t="s">
        <v>34</v>
      </c>
      <c r="F8" s="25" t="s">
        <v>35</v>
      </c>
      <c r="G8" s="25"/>
      <c r="H8" s="25" t="s">
        <v>40</v>
      </c>
      <c r="I8" s="25"/>
      <c r="K8" s="25">
        <v>2</v>
      </c>
      <c r="L8" s="25" t="s">
        <v>34</v>
      </c>
      <c r="M8" s="57" t="s">
        <v>187</v>
      </c>
      <c r="N8" s="57" t="s">
        <v>35</v>
      </c>
      <c r="O8" s="25">
        <v>1</v>
      </c>
      <c r="P8" s="25" t="s">
        <v>907</v>
      </c>
    </row>
    <row r="9" spans="2:16" s="74" customFormat="1" x14ac:dyDescent="0.15">
      <c r="C9" s="25">
        <v>3</v>
      </c>
      <c r="D9" s="25" t="s">
        <v>908</v>
      </c>
      <c r="E9" s="25" t="s">
        <v>909</v>
      </c>
      <c r="F9" s="25" t="s">
        <v>910</v>
      </c>
      <c r="G9" s="25"/>
      <c r="H9" s="25" t="s">
        <v>911</v>
      </c>
      <c r="I9" s="25"/>
      <c r="K9" s="25">
        <v>3</v>
      </c>
      <c r="L9" s="25" t="s">
        <v>912</v>
      </c>
      <c r="M9" s="25" t="s">
        <v>913</v>
      </c>
      <c r="N9" s="25" t="s">
        <v>910</v>
      </c>
      <c r="O9" s="25">
        <v>1</v>
      </c>
      <c r="P9" s="25" t="s">
        <v>907</v>
      </c>
    </row>
    <row r="10" spans="2:16" s="74" customFormat="1" x14ac:dyDescent="0.15">
      <c r="C10" s="25">
        <v>4</v>
      </c>
      <c r="D10" s="25" t="s">
        <v>914</v>
      </c>
      <c r="E10" s="25" t="s">
        <v>915</v>
      </c>
      <c r="F10" s="25" t="s">
        <v>910</v>
      </c>
      <c r="G10" s="25"/>
      <c r="H10" s="25" t="s">
        <v>911</v>
      </c>
      <c r="I10" s="25"/>
      <c r="K10" s="25">
        <v>4</v>
      </c>
      <c r="L10" s="25" t="s">
        <v>916</v>
      </c>
      <c r="M10" s="25" t="s">
        <v>917</v>
      </c>
      <c r="N10" s="25" t="s">
        <v>910</v>
      </c>
      <c r="O10" s="25">
        <v>1</v>
      </c>
      <c r="P10" s="25" t="s">
        <v>907</v>
      </c>
    </row>
    <row r="11" spans="2:16" s="74" customFormat="1" x14ac:dyDescent="0.15"/>
    <row r="12" spans="2:16" s="74" customFormat="1" x14ac:dyDescent="0.15"/>
    <row r="13" spans="2:16" s="74" customFormat="1" x14ac:dyDescent="0.15"/>
    <row r="14" spans="2:16" s="74" customFormat="1" x14ac:dyDescent="0.15"/>
    <row r="15" spans="2:16" s="74" customFormat="1" x14ac:dyDescent="0.15"/>
    <row r="16" spans="2:16" s="74" customFormat="1" x14ac:dyDescent="0.15"/>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12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pageSetUpPr fitToPage="1"/>
  </sheetPr>
  <dimension ref="B2:R709"/>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8" x14ac:dyDescent="0.15">
      <c r="B2" s="5" t="s">
        <v>897</v>
      </c>
      <c r="D2" s="2"/>
      <c r="E2" s="2"/>
    </row>
    <row r="3" spans="2:18" x14ac:dyDescent="0.15">
      <c r="B3" s="8"/>
      <c r="C3" s="8" t="s">
        <v>172</v>
      </c>
      <c r="D3" s="2"/>
      <c r="E3" s="2"/>
    </row>
    <row r="4" spans="2:18" x14ac:dyDescent="0.15">
      <c r="B4" s="8"/>
      <c r="C4" s="8"/>
      <c r="D4" s="2"/>
      <c r="E4" s="2"/>
    </row>
    <row r="5" spans="2:18" x14ac:dyDescent="0.15">
      <c r="B5" s="8"/>
      <c r="C5" s="12" t="s">
        <v>891</v>
      </c>
      <c r="D5" s="6"/>
      <c r="E5" s="2"/>
      <c r="H5" s="19"/>
      <c r="K5" s="5" t="s">
        <v>890</v>
      </c>
      <c r="P5" s="19"/>
    </row>
    <row r="6" spans="2:18"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889</v>
      </c>
    </row>
    <row r="7" spans="2:18" s="74" customFormat="1" x14ac:dyDescent="0.15">
      <c r="C7" s="25">
        <v>1</v>
      </c>
      <c r="D7" s="25" t="s">
        <v>871</v>
      </c>
      <c r="E7" s="25" t="s">
        <v>875</v>
      </c>
      <c r="F7" s="25" t="s">
        <v>904</v>
      </c>
      <c r="G7" s="25"/>
      <c r="H7" s="25" t="s">
        <v>40</v>
      </c>
      <c r="I7" s="25"/>
      <c r="K7" s="25">
        <v>1</v>
      </c>
      <c r="L7" s="25" t="s">
        <v>875</v>
      </c>
      <c r="M7" s="25" t="s">
        <v>871</v>
      </c>
      <c r="N7" s="25" t="s">
        <v>35</v>
      </c>
      <c r="O7" s="25">
        <v>1</v>
      </c>
      <c r="P7" s="25" t="s">
        <v>889</v>
      </c>
      <c r="R7" s="74" t="s">
        <v>918</v>
      </c>
    </row>
    <row r="8" spans="2:18" s="74" customFormat="1" x14ac:dyDescent="0.15">
      <c r="C8" s="25">
        <v>2</v>
      </c>
      <c r="D8" s="25" t="s">
        <v>919</v>
      </c>
      <c r="E8" s="25" t="s">
        <v>920</v>
      </c>
      <c r="F8" s="25" t="s">
        <v>921</v>
      </c>
      <c r="G8" s="25">
        <v>15</v>
      </c>
      <c r="H8" s="25" t="s">
        <v>922</v>
      </c>
      <c r="I8" s="25"/>
      <c r="K8" s="25">
        <v>2</v>
      </c>
      <c r="L8" s="25" t="s">
        <v>880</v>
      </c>
      <c r="M8" s="25" t="s">
        <v>923</v>
      </c>
      <c r="N8" s="25" t="s">
        <v>921</v>
      </c>
      <c r="O8" s="25">
        <v>1</v>
      </c>
      <c r="P8" s="25" t="s">
        <v>180</v>
      </c>
    </row>
    <row r="9" spans="2:18" s="74" customFormat="1" x14ac:dyDescent="0.15">
      <c r="C9" s="25">
        <v>3</v>
      </c>
      <c r="D9" s="25" t="s">
        <v>924</v>
      </c>
      <c r="E9" s="25" t="s">
        <v>925</v>
      </c>
      <c r="F9" s="25" t="s">
        <v>921</v>
      </c>
      <c r="G9" s="25">
        <v>8</v>
      </c>
      <c r="H9" s="25" t="s">
        <v>922</v>
      </c>
      <c r="I9" s="25"/>
      <c r="K9" s="25">
        <v>3</v>
      </c>
      <c r="L9" s="25" t="s">
        <v>926</v>
      </c>
      <c r="M9" s="25" t="s">
        <v>927</v>
      </c>
      <c r="N9" s="25" t="s">
        <v>252</v>
      </c>
      <c r="O9" s="25">
        <v>0</v>
      </c>
      <c r="P9" s="25" t="s">
        <v>928</v>
      </c>
    </row>
    <row r="10" spans="2:18" s="74" customFormat="1" x14ac:dyDescent="0.15">
      <c r="C10" s="25">
        <v>4</v>
      </c>
      <c r="D10" s="25" t="s">
        <v>929</v>
      </c>
      <c r="E10" s="25" t="s">
        <v>930</v>
      </c>
      <c r="F10" s="25" t="s">
        <v>931</v>
      </c>
      <c r="G10" s="25">
        <v>15</v>
      </c>
      <c r="H10" s="25"/>
      <c r="I10" s="25"/>
      <c r="K10" s="25">
        <v>4</v>
      </c>
      <c r="L10" s="25" t="s">
        <v>932</v>
      </c>
      <c r="M10" s="25" t="s">
        <v>933</v>
      </c>
      <c r="N10" s="25" t="s">
        <v>252</v>
      </c>
      <c r="O10" s="25">
        <v>0</v>
      </c>
      <c r="P10" s="25" t="s">
        <v>928</v>
      </c>
    </row>
    <row r="11" spans="2:18" s="74" customFormat="1" x14ac:dyDescent="0.15">
      <c r="C11" s="25">
        <v>5</v>
      </c>
      <c r="D11" s="25" t="s">
        <v>934</v>
      </c>
      <c r="E11" s="25" t="s">
        <v>935</v>
      </c>
      <c r="F11" s="25" t="s">
        <v>936</v>
      </c>
      <c r="G11" s="25"/>
      <c r="H11" s="25" t="s">
        <v>937</v>
      </c>
      <c r="I11" s="25"/>
      <c r="K11" s="25">
        <v>5</v>
      </c>
      <c r="L11" s="25" t="s">
        <v>935</v>
      </c>
      <c r="M11" s="25" t="s">
        <v>938</v>
      </c>
      <c r="N11" s="25" t="s">
        <v>936</v>
      </c>
      <c r="O11" s="25">
        <v>0</v>
      </c>
      <c r="P11" s="25" t="s">
        <v>928</v>
      </c>
      <c r="R11" s="74" t="s">
        <v>939</v>
      </c>
    </row>
    <row r="12" spans="2:18" s="74" customFormat="1" x14ac:dyDescent="0.15"/>
    <row r="13" spans="2:18" s="74" customFormat="1" x14ac:dyDescent="0.15"/>
    <row r="14" spans="2:18" s="74" customFormat="1" x14ac:dyDescent="0.15"/>
    <row r="15" spans="2:18" s="74" customFormat="1" x14ac:dyDescent="0.15"/>
    <row r="16" spans="2:18" s="74" customFormat="1" x14ac:dyDescent="0.15"/>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13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pageSetUpPr fitToPage="1"/>
  </sheetPr>
  <dimension ref="B2:P709"/>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900</v>
      </c>
      <c r="D2" s="2"/>
      <c r="E2" s="2"/>
    </row>
    <row r="3" spans="2:16" x14ac:dyDescent="0.15">
      <c r="B3" s="8"/>
      <c r="C3" s="8" t="s">
        <v>172</v>
      </c>
      <c r="D3" s="2"/>
      <c r="E3" s="2"/>
    </row>
    <row r="4" spans="2:16" x14ac:dyDescent="0.15">
      <c r="B4" s="8"/>
      <c r="C4" s="8"/>
      <c r="D4" s="2"/>
      <c r="E4" s="2"/>
    </row>
    <row r="5" spans="2:16" x14ac:dyDescent="0.15">
      <c r="B5" s="8"/>
      <c r="C5" s="12" t="s">
        <v>891</v>
      </c>
      <c r="D5" s="6"/>
      <c r="E5" s="2"/>
      <c r="H5" s="19"/>
      <c r="K5" s="5" t="s">
        <v>890</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889</v>
      </c>
    </row>
    <row r="7" spans="2:16" s="74" customFormat="1" x14ac:dyDescent="0.15">
      <c r="C7" s="25">
        <v>1</v>
      </c>
      <c r="D7" s="25" t="s">
        <v>871</v>
      </c>
      <c r="E7" s="25" t="s">
        <v>875</v>
      </c>
      <c r="F7" s="25" t="s">
        <v>904</v>
      </c>
      <c r="G7" s="25"/>
      <c r="H7" s="25" t="s">
        <v>40</v>
      </c>
      <c r="I7" s="25"/>
      <c r="K7" s="25">
        <v>1</v>
      </c>
      <c r="L7" s="25" t="s">
        <v>875</v>
      </c>
      <c r="M7" s="25" t="s">
        <v>871</v>
      </c>
      <c r="N7" s="25" t="s">
        <v>35</v>
      </c>
      <c r="O7" s="25">
        <v>1</v>
      </c>
      <c r="P7" s="25" t="s">
        <v>889</v>
      </c>
    </row>
    <row r="8" spans="2:16" s="74" customFormat="1" x14ac:dyDescent="0.15">
      <c r="C8" s="25">
        <v>2</v>
      </c>
      <c r="D8" s="25" t="s">
        <v>887</v>
      </c>
      <c r="E8" s="25" t="s">
        <v>940</v>
      </c>
      <c r="F8" s="25" t="s">
        <v>921</v>
      </c>
      <c r="G8" s="25">
        <v>8</v>
      </c>
      <c r="H8" s="25" t="s">
        <v>922</v>
      </c>
      <c r="I8" s="25"/>
      <c r="K8" s="25">
        <v>2</v>
      </c>
      <c r="L8" s="25" t="s">
        <v>202</v>
      </c>
      <c r="M8" s="25" t="s">
        <v>941</v>
      </c>
      <c r="N8" s="25" t="s">
        <v>252</v>
      </c>
      <c r="O8" s="25">
        <v>1</v>
      </c>
      <c r="P8" s="25" t="s">
        <v>889</v>
      </c>
    </row>
    <row r="9" spans="2:16" s="74" customFormat="1" x14ac:dyDescent="0.15">
      <c r="C9" s="25">
        <v>3</v>
      </c>
      <c r="D9" s="25" t="s">
        <v>886</v>
      </c>
      <c r="E9" s="25" t="s">
        <v>942</v>
      </c>
      <c r="F9" s="25" t="s">
        <v>252</v>
      </c>
      <c r="G9" s="25">
        <v>20</v>
      </c>
      <c r="H9" s="25"/>
      <c r="I9" s="25"/>
      <c r="K9" s="25">
        <v>3</v>
      </c>
      <c r="L9" s="25" t="s">
        <v>943</v>
      </c>
      <c r="M9" s="25" t="s">
        <v>944</v>
      </c>
      <c r="N9" s="25" t="s">
        <v>252</v>
      </c>
      <c r="O9" s="25">
        <v>0</v>
      </c>
      <c r="P9" s="25"/>
    </row>
    <row r="10" spans="2:16" s="74" customFormat="1" x14ac:dyDescent="0.15">
      <c r="C10" s="25">
        <v>4</v>
      </c>
      <c r="D10" s="25" t="s">
        <v>986</v>
      </c>
      <c r="E10" s="25" t="s">
        <v>987</v>
      </c>
      <c r="F10" s="25" t="s">
        <v>252</v>
      </c>
      <c r="G10" s="25">
        <v>8</v>
      </c>
      <c r="H10" s="25" t="s">
        <v>764</v>
      </c>
      <c r="I10" s="25"/>
      <c r="K10" s="25">
        <v>4</v>
      </c>
      <c r="L10" s="25" t="s">
        <v>988</v>
      </c>
      <c r="M10" s="25" t="s">
        <v>989</v>
      </c>
      <c r="N10" s="25" t="s">
        <v>252</v>
      </c>
      <c r="O10" s="25">
        <v>0</v>
      </c>
      <c r="P10" s="25" t="s">
        <v>224</v>
      </c>
    </row>
    <row r="11" spans="2:16" s="74" customFormat="1" x14ac:dyDescent="0.15"/>
    <row r="12" spans="2:16" s="74" customFormat="1" x14ac:dyDescent="0.15"/>
    <row r="13" spans="2:16" s="74" customFormat="1" x14ac:dyDescent="0.15"/>
    <row r="14" spans="2:16" s="74" customFormat="1" x14ac:dyDescent="0.15"/>
    <row r="15" spans="2:16" s="74" customFormat="1" x14ac:dyDescent="0.15"/>
    <row r="16" spans="2:16" s="74" customFormat="1" x14ac:dyDescent="0.15"/>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14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pageSetUpPr fitToPage="1"/>
  </sheetPr>
  <dimension ref="B2:P709"/>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975</v>
      </c>
      <c r="D2" s="2"/>
      <c r="E2" s="2"/>
    </row>
    <row r="3" spans="2:16" x14ac:dyDescent="0.15">
      <c r="B3" s="8"/>
      <c r="C3" s="8" t="s">
        <v>172</v>
      </c>
      <c r="D3" s="2"/>
      <c r="E3" s="2"/>
    </row>
    <row r="4" spans="2:16" x14ac:dyDescent="0.15">
      <c r="B4" s="8"/>
      <c r="C4" s="8"/>
      <c r="D4" s="2"/>
      <c r="E4" s="2"/>
    </row>
    <row r="5" spans="2:16" x14ac:dyDescent="0.15">
      <c r="B5" s="8"/>
      <c r="C5" s="12" t="s">
        <v>891</v>
      </c>
      <c r="D5" s="6"/>
      <c r="E5" s="2"/>
      <c r="H5" s="19"/>
      <c r="K5" s="5" t="s">
        <v>890</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889</v>
      </c>
    </row>
    <row r="7" spans="2:16" s="74" customFormat="1" x14ac:dyDescent="0.15">
      <c r="C7" s="25">
        <v>1</v>
      </c>
      <c r="D7" s="25" t="s">
        <v>871</v>
      </c>
      <c r="E7" s="25" t="s">
        <v>875</v>
      </c>
      <c r="F7" s="25" t="s">
        <v>904</v>
      </c>
      <c r="G7" s="25"/>
      <c r="H7" s="25" t="s">
        <v>40</v>
      </c>
      <c r="I7" s="25"/>
      <c r="K7" s="25">
        <v>1</v>
      </c>
      <c r="L7" s="25" t="s">
        <v>875</v>
      </c>
      <c r="M7" s="25" t="s">
        <v>871</v>
      </c>
      <c r="N7" s="25" t="s">
        <v>35</v>
      </c>
      <c r="O7" s="25">
        <v>1</v>
      </c>
      <c r="P7" s="25" t="s">
        <v>889</v>
      </c>
    </row>
    <row r="8" spans="2:16" s="74" customFormat="1" x14ac:dyDescent="0.15">
      <c r="C8" s="25">
        <v>2</v>
      </c>
      <c r="D8" s="25" t="s">
        <v>945</v>
      </c>
      <c r="E8" s="25" t="s">
        <v>946</v>
      </c>
      <c r="F8" s="25" t="s">
        <v>921</v>
      </c>
      <c r="G8" s="25">
        <v>8</v>
      </c>
      <c r="H8" s="25" t="s">
        <v>922</v>
      </c>
      <c r="I8" s="25"/>
      <c r="K8" s="25">
        <v>2</v>
      </c>
      <c r="L8" s="25" t="s">
        <v>888</v>
      </c>
      <c r="M8" s="25" t="s">
        <v>947</v>
      </c>
      <c r="N8" s="25" t="s">
        <v>252</v>
      </c>
      <c r="O8" s="25">
        <v>1</v>
      </c>
      <c r="P8" s="25" t="s">
        <v>889</v>
      </c>
    </row>
    <row r="9" spans="2:16" s="74" customFormat="1" x14ac:dyDescent="0.15">
      <c r="C9" s="25">
        <v>3</v>
      </c>
      <c r="D9" s="25" t="s">
        <v>887</v>
      </c>
      <c r="E9" s="25" t="s">
        <v>940</v>
      </c>
      <c r="F9" s="25" t="s">
        <v>921</v>
      </c>
      <c r="G9" s="25">
        <v>8</v>
      </c>
      <c r="H9" s="25" t="s">
        <v>922</v>
      </c>
      <c r="I9" s="25"/>
      <c r="K9" s="25">
        <v>3</v>
      </c>
      <c r="L9" s="25" t="s">
        <v>202</v>
      </c>
      <c r="M9" s="25" t="s">
        <v>941</v>
      </c>
      <c r="N9" s="25" t="s">
        <v>252</v>
      </c>
      <c r="O9" s="25">
        <v>1</v>
      </c>
      <c r="P9" s="25" t="s">
        <v>889</v>
      </c>
    </row>
    <row r="10" spans="2:16" s="74" customFormat="1" x14ac:dyDescent="0.15">
      <c r="C10" s="25">
        <v>4</v>
      </c>
      <c r="D10" s="25" t="s">
        <v>948</v>
      </c>
      <c r="E10" s="25" t="s">
        <v>949</v>
      </c>
      <c r="F10" s="25" t="s">
        <v>921</v>
      </c>
      <c r="G10" s="25">
        <v>20</v>
      </c>
      <c r="H10" s="25"/>
      <c r="I10" s="25"/>
      <c r="K10" s="25">
        <v>4</v>
      </c>
      <c r="L10" s="25" t="s">
        <v>950</v>
      </c>
      <c r="M10" s="25" t="s">
        <v>951</v>
      </c>
      <c r="N10" s="25" t="s">
        <v>252</v>
      </c>
      <c r="O10" s="25">
        <v>0</v>
      </c>
      <c r="P10" s="25" t="s">
        <v>889</v>
      </c>
    </row>
    <row r="11" spans="2:16" s="74" customFormat="1" x14ac:dyDescent="0.15">
      <c r="C11" s="25">
        <v>5</v>
      </c>
      <c r="D11" s="25" t="s">
        <v>886</v>
      </c>
      <c r="E11" s="25" t="s">
        <v>942</v>
      </c>
      <c r="F11" s="25" t="s">
        <v>252</v>
      </c>
      <c r="G11" s="25">
        <v>20</v>
      </c>
      <c r="H11" s="25"/>
      <c r="I11" s="25"/>
      <c r="K11" s="25">
        <v>5</v>
      </c>
      <c r="L11" s="25" t="s">
        <v>943</v>
      </c>
      <c r="M11" s="25" t="s">
        <v>952</v>
      </c>
      <c r="N11" s="25" t="s">
        <v>252</v>
      </c>
      <c r="O11" s="25">
        <v>0</v>
      </c>
      <c r="P11" s="25" t="s">
        <v>889</v>
      </c>
    </row>
    <row r="12" spans="2:16" s="74" customFormat="1" x14ac:dyDescent="0.15"/>
    <row r="13" spans="2:16" s="74" customFormat="1" x14ac:dyDescent="0.15"/>
    <row r="14" spans="2:16" s="74" customFormat="1" x14ac:dyDescent="0.15"/>
    <row r="15" spans="2:16" s="74" customFormat="1" x14ac:dyDescent="0.15"/>
    <row r="16" spans="2:16" s="74" customFormat="1" x14ac:dyDescent="0.15"/>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15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9">
    <pageSetUpPr fitToPage="1"/>
  </sheetPr>
  <dimension ref="B2:P709"/>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976</v>
      </c>
      <c r="D2" s="2"/>
      <c r="E2" s="2"/>
    </row>
    <row r="3" spans="2:16" x14ac:dyDescent="0.15">
      <c r="B3" s="8"/>
      <c r="C3" s="8" t="s">
        <v>172</v>
      </c>
      <c r="D3" s="2"/>
      <c r="E3" s="2"/>
    </row>
    <row r="4" spans="2:16" x14ac:dyDescent="0.15">
      <c r="B4" s="8"/>
      <c r="C4" s="8"/>
      <c r="D4" s="2"/>
      <c r="E4" s="2"/>
    </row>
    <row r="5" spans="2:16" x14ac:dyDescent="0.15">
      <c r="B5" s="8"/>
      <c r="C5" s="12" t="s">
        <v>891</v>
      </c>
      <c r="D5" s="6"/>
      <c r="E5" s="2"/>
      <c r="H5" s="19"/>
      <c r="K5" s="5" t="s">
        <v>890</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889</v>
      </c>
    </row>
    <row r="7" spans="2:16" s="74" customFormat="1" x14ac:dyDescent="0.15">
      <c r="C7" s="25">
        <v>1</v>
      </c>
      <c r="D7" s="25" t="s">
        <v>903</v>
      </c>
      <c r="E7" s="25" t="s">
        <v>875</v>
      </c>
      <c r="F7" s="25" t="s">
        <v>35</v>
      </c>
      <c r="G7" s="25"/>
      <c r="H7" s="25" t="s">
        <v>40</v>
      </c>
      <c r="I7" s="25"/>
      <c r="K7" s="25">
        <v>1</v>
      </c>
      <c r="L7" s="25" t="s">
        <v>875</v>
      </c>
      <c r="M7" s="25" t="s">
        <v>871</v>
      </c>
      <c r="N7" s="25" t="s">
        <v>35</v>
      </c>
      <c r="O7" s="25">
        <v>1</v>
      </c>
      <c r="P7" s="25" t="s">
        <v>180</v>
      </c>
    </row>
    <row r="8" spans="2:16" s="74" customFormat="1" x14ac:dyDescent="0.15">
      <c r="C8" s="25">
        <v>2</v>
      </c>
      <c r="D8" s="25" t="s">
        <v>872</v>
      </c>
      <c r="E8" s="25" t="s">
        <v>876</v>
      </c>
      <c r="F8" s="25" t="s">
        <v>873</v>
      </c>
      <c r="G8" s="25"/>
      <c r="H8" s="25" t="s">
        <v>40</v>
      </c>
      <c r="I8" s="25"/>
      <c r="K8" s="25">
        <v>2</v>
      </c>
      <c r="L8" s="25" t="s">
        <v>874</v>
      </c>
      <c r="M8" s="25" t="s">
        <v>872</v>
      </c>
      <c r="N8" s="25" t="s">
        <v>873</v>
      </c>
      <c r="O8" s="25">
        <v>1</v>
      </c>
      <c r="P8" s="25" t="s">
        <v>180</v>
      </c>
    </row>
    <row r="9" spans="2:16" s="74" customFormat="1" x14ac:dyDescent="0.15">
      <c r="C9" s="25">
        <v>3</v>
      </c>
      <c r="D9" s="25" t="s">
        <v>878</v>
      </c>
      <c r="E9" s="25" t="s">
        <v>953</v>
      </c>
      <c r="F9" s="25" t="s">
        <v>252</v>
      </c>
      <c r="G9" s="25">
        <v>15</v>
      </c>
      <c r="H9" s="25" t="s">
        <v>40</v>
      </c>
      <c r="I9" s="25"/>
      <c r="K9" s="25">
        <v>3</v>
      </c>
      <c r="L9" s="25" t="s">
        <v>880</v>
      </c>
      <c r="M9" s="25" t="s">
        <v>923</v>
      </c>
      <c r="N9" s="25" t="s">
        <v>921</v>
      </c>
      <c r="O9" s="25">
        <v>1</v>
      </c>
      <c r="P9" s="25" t="s">
        <v>180</v>
      </c>
    </row>
    <row r="10" spans="2:16" s="74" customFormat="1" x14ac:dyDescent="0.15"/>
    <row r="11" spans="2:16" s="74" customFormat="1" x14ac:dyDescent="0.15"/>
    <row r="12" spans="2:16" s="74" customFormat="1" x14ac:dyDescent="0.15"/>
    <row r="13" spans="2:16" s="74" customFormat="1" x14ac:dyDescent="0.15"/>
    <row r="14" spans="2:16" s="74" customFormat="1" x14ac:dyDescent="0.15"/>
    <row r="15" spans="2:16" s="74" customFormat="1" x14ac:dyDescent="0.15"/>
    <row r="16" spans="2:16" s="74" customFormat="1" x14ac:dyDescent="0.15"/>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16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0">
    <pageSetUpPr fitToPage="1"/>
  </sheetPr>
  <dimension ref="B2:P709"/>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883</v>
      </c>
      <c r="D2" s="2"/>
      <c r="E2" s="2"/>
    </row>
    <row r="3" spans="2:16" x14ac:dyDescent="0.15">
      <c r="B3" s="8"/>
      <c r="C3" s="8" t="s">
        <v>172</v>
      </c>
      <c r="D3" s="2"/>
      <c r="E3" s="2"/>
    </row>
    <row r="4" spans="2:16" x14ac:dyDescent="0.15">
      <c r="B4" s="8"/>
      <c r="C4" s="8"/>
      <c r="D4" s="2"/>
      <c r="E4" s="2"/>
    </row>
    <row r="5" spans="2:16" x14ac:dyDescent="0.15">
      <c r="B5" s="8"/>
      <c r="C5" s="12" t="s">
        <v>891</v>
      </c>
      <c r="D5" s="6"/>
      <c r="E5" s="2"/>
      <c r="H5" s="19"/>
      <c r="K5" s="5" t="s">
        <v>890</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889</v>
      </c>
    </row>
    <row r="7" spans="2:16" s="74" customFormat="1" x14ac:dyDescent="0.15">
      <c r="C7" s="25">
        <v>1</v>
      </c>
      <c r="D7" s="25" t="s">
        <v>871</v>
      </c>
      <c r="E7" s="25" t="s">
        <v>875</v>
      </c>
      <c r="F7" s="25" t="s">
        <v>35</v>
      </c>
      <c r="G7" s="25"/>
      <c r="H7" s="25" t="s">
        <v>40</v>
      </c>
      <c r="I7" s="25"/>
      <c r="K7" s="25">
        <v>1</v>
      </c>
      <c r="L7" s="25" t="s">
        <v>875</v>
      </c>
      <c r="M7" s="25" t="s">
        <v>871</v>
      </c>
      <c r="N7" s="25" t="s">
        <v>35</v>
      </c>
      <c r="O7" s="25">
        <v>1</v>
      </c>
      <c r="P7" s="25" t="s">
        <v>180</v>
      </c>
    </row>
    <row r="8" spans="2:16" s="74" customFormat="1" x14ac:dyDescent="0.15">
      <c r="C8" s="25">
        <v>2</v>
      </c>
      <c r="D8" s="25" t="s">
        <v>872</v>
      </c>
      <c r="E8" s="25" t="s">
        <v>876</v>
      </c>
      <c r="F8" s="25" t="s">
        <v>873</v>
      </c>
      <c r="G8" s="25"/>
      <c r="H8" s="25" t="s">
        <v>40</v>
      </c>
      <c r="I8" s="25"/>
      <c r="K8" s="25">
        <v>2</v>
      </c>
      <c r="L8" s="25" t="s">
        <v>874</v>
      </c>
      <c r="M8" s="25" t="s">
        <v>872</v>
      </c>
      <c r="N8" s="25" t="s">
        <v>873</v>
      </c>
      <c r="O8" s="25">
        <v>1</v>
      </c>
      <c r="P8" s="25" t="s">
        <v>180</v>
      </c>
    </row>
    <row r="9" spans="2:16" s="74" customFormat="1" x14ac:dyDescent="0.15">
      <c r="C9" s="25">
        <v>3</v>
      </c>
      <c r="D9" s="25" t="s">
        <v>879</v>
      </c>
      <c r="E9" s="25" t="s">
        <v>877</v>
      </c>
      <c r="F9" s="25" t="s">
        <v>252</v>
      </c>
      <c r="G9" s="25">
        <v>8</v>
      </c>
      <c r="H9" s="25" t="s">
        <v>40</v>
      </c>
      <c r="I9" s="25"/>
      <c r="K9" s="25">
        <v>3</v>
      </c>
      <c r="L9" s="25" t="s">
        <v>202</v>
      </c>
      <c r="M9" s="25" t="s">
        <v>203</v>
      </c>
      <c r="N9" s="25" t="s">
        <v>252</v>
      </c>
      <c r="O9" s="25">
        <v>1</v>
      </c>
      <c r="P9" s="25" t="s">
        <v>180</v>
      </c>
    </row>
    <row r="10" spans="2:16" s="74" customFormat="1" x14ac:dyDescent="0.15"/>
    <row r="11" spans="2:16" s="74" customFormat="1" x14ac:dyDescent="0.15"/>
    <row r="12" spans="2:16" s="74" customFormat="1" x14ac:dyDescent="0.15"/>
    <row r="13" spans="2:16" s="74" customFormat="1" x14ac:dyDescent="0.15"/>
    <row r="14" spans="2:16" s="74" customFormat="1" x14ac:dyDescent="0.15"/>
    <row r="15" spans="2:16" s="74" customFormat="1" x14ac:dyDescent="0.15"/>
    <row r="16" spans="2:16" s="74" customFormat="1" x14ac:dyDescent="0.15"/>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17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EB228-4628-4206-9E53-9541EDE228A5}">
  <sheetPr codeName="Sheet28">
    <pageSetUpPr fitToPage="1"/>
  </sheetPr>
  <dimension ref="B2:R709"/>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8" x14ac:dyDescent="0.15">
      <c r="B2" s="5" t="s">
        <v>969</v>
      </c>
      <c r="D2" s="2"/>
      <c r="E2" s="2"/>
    </row>
    <row r="3" spans="2:18" x14ac:dyDescent="0.15">
      <c r="B3" s="8"/>
      <c r="C3" s="8" t="s">
        <v>172</v>
      </c>
      <c r="D3" s="2"/>
      <c r="E3" s="2"/>
    </row>
    <row r="4" spans="2:18" x14ac:dyDescent="0.15">
      <c r="B4" s="8"/>
      <c r="C4" s="8"/>
      <c r="D4" s="2"/>
      <c r="E4" s="2"/>
    </row>
    <row r="5" spans="2:18" x14ac:dyDescent="0.15">
      <c r="B5" s="8"/>
      <c r="C5" s="12" t="s">
        <v>4</v>
      </c>
      <c r="D5" s="6"/>
      <c r="E5" s="2"/>
      <c r="H5" s="19"/>
      <c r="K5" s="5" t="s">
        <v>183</v>
      </c>
      <c r="P5" s="19"/>
    </row>
    <row r="6" spans="2:18"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8" s="74" customFormat="1" x14ac:dyDescent="0.15">
      <c r="C7" s="25">
        <v>1</v>
      </c>
      <c r="D7" s="25" t="s">
        <v>871</v>
      </c>
      <c r="E7" s="25" t="s">
        <v>875</v>
      </c>
      <c r="F7" s="25" t="s">
        <v>186</v>
      </c>
      <c r="G7" s="25"/>
      <c r="H7" s="25" t="s">
        <v>40</v>
      </c>
      <c r="I7" s="25"/>
      <c r="K7" s="25">
        <v>1</v>
      </c>
      <c r="L7" s="25" t="s">
        <v>875</v>
      </c>
      <c r="M7" s="25" t="s">
        <v>871</v>
      </c>
      <c r="N7" s="25" t="s">
        <v>35</v>
      </c>
      <c r="O7" s="25">
        <v>1</v>
      </c>
      <c r="P7" s="25" t="s">
        <v>224</v>
      </c>
      <c r="R7" s="74" t="s">
        <v>918</v>
      </c>
    </row>
    <row r="8" spans="2:18" s="74" customFormat="1" x14ac:dyDescent="0.15">
      <c r="C8" s="25">
        <v>2</v>
      </c>
      <c r="D8" s="25" t="s">
        <v>919</v>
      </c>
      <c r="E8" s="25" t="s">
        <v>920</v>
      </c>
      <c r="F8" s="25" t="s">
        <v>254</v>
      </c>
      <c r="G8" s="25">
        <v>15</v>
      </c>
      <c r="H8" s="25" t="s">
        <v>764</v>
      </c>
      <c r="I8" s="25"/>
      <c r="K8" s="25">
        <v>2</v>
      </c>
      <c r="L8" s="25" t="s">
        <v>880</v>
      </c>
      <c r="M8" s="25" t="s">
        <v>923</v>
      </c>
      <c r="N8" s="25" t="s">
        <v>254</v>
      </c>
      <c r="O8" s="25">
        <v>1</v>
      </c>
      <c r="P8" s="25" t="s">
        <v>180</v>
      </c>
    </row>
    <row r="9" spans="2:18" s="74" customFormat="1" x14ac:dyDescent="0.15">
      <c r="C9" s="25">
        <v>3</v>
      </c>
      <c r="D9" s="25" t="s">
        <v>977</v>
      </c>
      <c r="E9" s="25" t="s">
        <v>978</v>
      </c>
      <c r="F9" s="25" t="s">
        <v>254</v>
      </c>
      <c r="G9" s="25">
        <v>12</v>
      </c>
      <c r="H9" s="25" t="s">
        <v>764</v>
      </c>
      <c r="I9" s="25"/>
      <c r="K9" s="25">
        <v>3</v>
      </c>
      <c r="L9" s="25" t="s">
        <v>979</v>
      </c>
      <c r="M9" s="25" t="s">
        <v>980</v>
      </c>
      <c r="N9" s="25" t="s">
        <v>252</v>
      </c>
      <c r="O9" s="25">
        <v>1</v>
      </c>
      <c r="P9" s="25" t="s">
        <v>224</v>
      </c>
    </row>
    <row r="10" spans="2:18" s="74" customFormat="1" x14ac:dyDescent="0.15">
      <c r="C10" s="25">
        <v>4</v>
      </c>
      <c r="D10" s="25" t="s">
        <v>981</v>
      </c>
      <c r="E10" s="25" t="s">
        <v>982</v>
      </c>
      <c r="F10" s="25" t="s">
        <v>254</v>
      </c>
      <c r="G10" s="25">
        <v>20</v>
      </c>
      <c r="H10" s="25"/>
      <c r="I10" s="25"/>
      <c r="K10" s="25">
        <v>4</v>
      </c>
      <c r="L10" s="25" t="s">
        <v>983</v>
      </c>
      <c r="M10" s="25" t="s">
        <v>984</v>
      </c>
      <c r="N10" s="25" t="s">
        <v>252</v>
      </c>
      <c r="O10" s="25">
        <v>0</v>
      </c>
      <c r="P10" s="25" t="s">
        <v>224</v>
      </c>
    </row>
    <row r="11" spans="2:18" s="74" customFormat="1" x14ac:dyDescent="0.15"/>
    <row r="12" spans="2:18" s="74" customFormat="1" x14ac:dyDescent="0.15"/>
    <row r="13" spans="2:18" s="74" customFormat="1" x14ac:dyDescent="0.15"/>
    <row r="14" spans="2:18" s="74" customFormat="1" x14ac:dyDescent="0.15"/>
    <row r="15" spans="2:18" s="74" customFormat="1" x14ac:dyDescent="0.15"/>
    <row r="16" spans="2:18" s="74" customFormat="1" x14ac:dyDescent="0.15"/>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8E23E92F-9CCF-4B09-AD92-C2B2B9FCA4B5}"/>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232CA-24AB-4C0E-AE33-4ED92F768DD7}">
  <sheetPr codeName="Sheet35">
    <pageSetUpPr fitToPage="1"/>
  </sheetPr>
  <dimension ref="B2:P709"/>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990</v>
      </c>
      <c r="D2" s="2"/>
      <c r="E2" s="2"/>
    </row>
    <row r="3" spans="2:16" x14ac:dyDescent="0.15">
      <c r="B3" s="8"/>
      <c r="C3" s="8" t="s">
        <v>172</v>
      </c>
      <c r="D3" s="2"/>
      <c r="E3" s="2"/>
    </row>
    <row r="4" spans="2:16" x14ac:dyDescent="0.15">
      <c r="B4" s="8"/>
      <c r="C4" s="8"/>
      <c r="D4" s="2"/>
      <c r="E4" s="2"/>
    </row>
    <row r="5" spans="2:16" x14ac:dyDescent="0.15">
      <c r="B5" s="8"/>
      <c r="C5" s="12" t="s">
        <v>4</v>
      </c>
      <c r="D5" s="6"/>
      <c r="E5" s="2"/>
      <c r="H5" s="19"/>
      <c r="K5" s="5"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4" customFormat="1" x14ac:dyDescent="0.15">
      <c r="C7" s="25">
        <v>2</v>
      </c>
      <c r="D7" s="25" t="s">
        <v>125</v>
      </c>
      <c r="E7" s="25" t="s">
        <v>126</v>
      </c>
      <c r="F7" s="25" t="s">
        <v>39</v>
      </c>
      <c r="G7" s="25">
        <v>8</v>
      </c>
      <c r="H7" s="25" t="s">
        <v>40</v>
      </c>
      <c r="I7" s="25"/>
      <c r="K7" s="25">
        <v>1</v>
      </c>
      <c r="L7" s="25" t="s">
        <v>232</v>
      </c>
      <c r="M7" s="25" t="s">
        <v>229</v>
      </c>
      <c r="N7" s="25" t="s">
        <v>254</v>
      </c>
      <c r="O7" s="25">
        <v>1</v>
      </c>
      <c r="P7" s="25" t="s">
        <v>224</v>
      </c>
    </row>
    <row r="8" spans="2:16" s="74" customFormat="1" x14ac:dyDescent="0.15">
      <c r="C8" s="25">
        <v>5</v>
      </c>
      <c r="D8" s="25" t="s">
        <v>41</v>
      </c>
      <c r="E8" s="25" t="s">
        <v>42</v>
      </c>
      <c r="F8" s="25" t="s">
        <v>39</v>
      </c>
      <c r="G8" s="25">
        <v>8</v>
      </c>
      <c r="H8" s="25" t="s">
        <v>40</v>
      </c>
      <c r="I8" s="25"/>
      <c r="K8" s="25">
        <v>2</v>
      </c>
      <c r="L8" s="25" t="s">
        <v>42</v>
      </c>
      <c r="M8" s="25" t="s">
        <v>188</v>
      </c>
      <c r="N8" s="25" t="s">
        <v>254</v>
      </c>
      <c r="O8" s="25">
        <v>1</v>
      </c>
      <c r="P8" s="25" t="s">
        <v>224</v>
      </c>
    </row>
    <row r="9" spans="2:16" s="74" customFormat="1" x14ac:dyDescent="0.15">
      <c r="C9" s="25">
        <v>1</v>
      </c>
      <c r="D9" s="25" t="s">
        <v>33</v>
      </c>
      <c r="E9" s="25" t="s">
        <v>287</v>
      </c>
      <c r="F9" s="25" t="s">
        <v>35</v>
      </c>
      <c r="G9" s="25"/>
      <c r="H9" s="25" t="s">
        <v>764</v>
      </c>
      <c r="I9" s="25" t="s">
        <v>36</v>
      </c>
      <c r="K9" s="25">
        <v>3</v>
      </c>
      <c r="L9" s="25" t="s">
        <v>34</v>
      </c>
      <c r="M9" s="25" t="s">
        <v>187</v>
      </c>
      <c r="N9" s="25" t="s">
        <v>35</v>
      </c>
      <c r="O9" s="25">
        <v>1</v>
      </c>
      <c r="P9" s="25" t="s">
        <v>224</v>
      </c>
    </row>
    <row r="10" spans="2:16" s="74" customFormat="1" x14ac:dyDescent="0.15">
      <c r="C10" s="25">
        <v>3</v>
      </c>
      <c r="D10" s="25" t="s">
        <v>37</v>
      </c>
      <c r="E10" s="25" t="s">
        <v>38</v>
      </c>
      <c r="F10" s="25" t="s">
        <v>39</v>
      </c>
      <c r="G10" s="25">
        <v>15</v>
      </c>
      <c r="H10" s="25" t="s">
        <v>40</v>
      </c>
      <c r="I10" s="25"/>
      <c r="K10" s="25">
        <v>4</v>
      </c>
      <c r="L10" s="25" t="s">
        <v>38</v>
      </c>
      <c r="M10" s="25" t="s">
        <v>191</v>
      </c>
      <c r="N10" s="25" t="s">
        <v>254</v>
      </c>
      <c r="O10" s="25">
        <v>0</v>
      </c>
      <c r="P10" s="25" t="s">
        <v>224</v>
      </c>
    </row>
    <row r="11" spans="2:16" s="74" customFormat="1" x14ac:dyDescent="0.15">
      <c r="C11" s="25">
        <v>4</v>
      </c>
      <c r="D11" s="25" t="s">
        <v>127</v>
      </c>
      <c r="E11" s="25" t="s">
        <v>128</v>
      </c>
      <c r="F11" s="25" t="s">
        <v>39</v>
      </c>
      <c r="G11" s="25">
        <v>20</v>
      </c>
      <c r="H11" s="25"/>
      <c r="I11" s="25"/>
      <c r="K11" s="25">
        <v>5</v>
      </c>
      <c r="L11" s="25" t="s">
        <v>204</v>
      </c>
      <c r="M11" s="25" t="s">
        <v>205</v>
      </c>
      <c r="N11" s="25" t="s">
        <v>254</v>
      </c>
      <c r="O11" s="25">
        <v>0</v>
      </c>
      <c r="P11" s="25" t="s">
        <v>224</v>
      </c>
    </row>
    <row r="12" spans="2:16" s="74" customFormat="1" x14ac:dyDescent="0.15">
      <c r="C12" s="25">
        <v>6</v>
      </c>
      <c r="D12" s="25" t="s">
        <v>48</v>
      </c>
      <c r="E12" s="25" t="s">
        <v>49</v>
      </c>
      <c r="F12" s="25" t="s">
        <v>35</v>
      </c>
      <c r="G12" s="25"/>
      <c r="H12" s="25"/>
      <c r="I12" s="25"/>
      <c r="K12" s="25">
        <v>6</v>
      </c>
      <c r="L12" s="25" t="s">
        <v>198</v>
      </c>
      <c r="M12" s="25" t="s">
        <v>199</v>
      </c>
      <c r="N12" s="25" t="s">
        <v>35</v>
      </c>
      <c r="O12" s="25">
        <v>0</v>
      </c>
      <c r="P12" s="25"/>
    </row>
    <row r="13" spans="2:16" s="74" customFormat="1" x14ac:dyDescent="0.15">
      <c r="C13" s="25">
        <v>7</v>
      </c>
      <c r="D13" s="25" t="s">
        <v>43</v>
      </c>
      <c r="E13" s="25" t="s">
        <v>44</v>
      </c>
      <c r="F13" s="25" t="s">
        <v>39</v>
      </c>
      <c r="G13" s="25">
        <v>22</v>
      </c>
      <c r="H13" s="25"/>
      <c r="I13" s="25"/>
      <c r="K13" s="25">
        <v>7</v>
      </c>
      <c r="L13" s="25" t="s">
        <v>192</v>
      </c>
      <c r="M13" s="25" t="s">
        <v>193</v>
      </c>
      <c r="N13" s="25" t="s">
        <v>254</v>
      </c>
      <c r="O13" s="25">
        <v>0</v>
      </c>
      <c r="P13" s="25" t="s">
        <v>224</v>
      </c>
    </row>
    <row r="14" spans="2:16" s="74" customFormat="1" x14ac:dyDescent="0.15">
      <c r="C14" s="25">
        <v>8</v>
      </c>
      <c r="D14" s="25" t="s">
        <v>45</v>
      </c>
      <c r="E14" s="25" t="s">
        <v>46</v>
      </c>
      <c r="F14" s="25" t="s">
        <v>39</v>
      </c>
      <c r="G14" s="25">
        <v>40</v>
      </c>
      <c r="H14" s="25"/>
      <c r="I14" s="25"/>
      <c r="K14" s="25">
        <v>8</v>
      </c>
      <c r="L14" s="25" t="s">
        <v>194</v>
      </c>
      <c r="M14" s="25" t="s">
        <v>195</v>
      </c>
      <c r="N14" s="25" t="s">
        <v>254</v>
      </c>
      <c r="O14" s="25">
        <v>0</v>
      </c>
      <c r="P14" s="25" t="s">
        <v>224</v>
      </c>
    </row>
    <row r="15" spans="2:16" s="74" customFormat="1" x14ac:dyDescent="0.15">
      <c r="C15" s="25">
        <v>9</v>
      </c>
      <c r="D15" s="25" t="s">
        <v>50</v>
      </c>
      <c r="E15" s="25" t="s">
        <v>51</v>
      </c>
      <c r="F15" s="25" t="s">
        <v>186</v>
      </c>
      <c r="G15" s="25"/>
      <c r="H15" s="25" t="s">
        <v>40</v>
      </c>
      <c r="I15" s="25" t="s">
        <v>52</v>
      </c>
      <c r="K15" s="25">
        <v>9</v>
      </c>
      <c r="L15" s="25" t="s">
        <v>51</v>
      </c>
      <c r="M15" s="25" t="s">
        <v>200</v>
      </c>
      <c r="N15" s="25" t="s">
        <v>35</v>
      </c>
      <c r="O15" s="25">
        <v>0</v>
      </c>
      <c r="P15" s="25"/>
    </row>
    <row r="16" spans="2:16" s="74" customFormat="1" x14ac:dyDescent="0.15">
      <c r="C16" s="25">
        <v>10</v>
      </c>
      <c r="D16" s="25" t="s">
        <v>1003</v>
      </c>
      <c r="E16" s="25" t="s">
        <v>1004</v>
      </c>
      <c r="F16" s="25" t="s">
        <v>235</v>
      </c>
      <c r="G16" s="25" t="s">
        <v>1005</v>
      </c>
      <c r="H16" s="25" t="s">
        <v>764</v>
      </c>
      <c r="I16" s="25"/>
      <c r="K16" s="25">
        <v>10</v>
      </c>
      <c r="L16" s="25" t="s">
        <v>1004</v>
      </c>
      <c r="M16" s="25" t="s">
        <v>1006</v>
      </c>
      <c r="N16" s="25" t="s">
        <v>1007</v>
      </c>
      <c r="O16" s="25">
        <v>0</v>
      </c>
      <c r="P16" s="25" t="s">
        <v>180</v>
      </c>
    </row>
    <row r="17" spans="3:16" s="74" customFormat="1" x14ac:dyDescent="0.15">
      <c r="C17" s="25">
        <v>11</v>
      </c>
      <c r="D17" s="25" t="s">
        <v>1008</v>
      </c>
      <c r="E17" s="25" t="s">
        <v>1009</v>
      </c>
      <c r="F17" s="25" t="s">
        <v>235</v>
      </c>
      <c r="G17" s="25" t="s">
        <v>1005</v>
      </c>
      <c r="H17" s="25" t="s">
        <v>764</v>
      </c>
      <c r="I17" s="25"/>
      <c r="K17" s="25">
        <v>11</v>
      </c>
      <c r="L17" s="25" t="s">
        <v>1009</v>
      </c>
      <c r="M17" s="25" t="s">
        <v>1010</v>
      </c>
      <c r="N17" s="25" t="s">
        <v>1007</v>
      </c>
      <c r="O17" s="25">
        <v>0</v>
      </c>
      <c r="P17" s="25" t="s">
        <v>180</v>
      </c>
    </row>
    <row r="18" spans="3:16" s="74" customFormat="1" x14ac:dyDescent="0.15">
      <c r="C18" s="25">
        <v>12</v>
      </c>
      <c r="D18" s="25" t="s">
        <v>1011</v>
      </c>
      <c r="E18" s="25" t="s">
        <v>1012</v>
      </c>
      <c r="F18" s="25" t="s">
        <v>235</v>
      </c>
      <c r="G18" s="25" t="s">
        <v>159</v>
      </c>
      <c r="H18" s="25" t="s">
        <v>40</v>
      </c>
      <c r="I18" s="25"/>
      <c r="K18" s="25">
        <v>12</v>
      </c>
      <c r="L18" s="25" t="s">
        <v>1012</v>
      </c>
      <c r="M18" s="25" t="s">
        <v>1013</v>
      </c>
      <c r="N18" s="25" t="s">
        <v>1007</v>
      </c>
      <c r="O18" s="25">
        <v>0</v>
      </c>
      <c r="P18" s="25" t="s">
        <v>180</v>
      </c>
    </row>
    <row r="19" spans="3:16" s="74" customFormat="1" x14ac:dyDescent="0.15">
      <c r="C19" s="25">
        <v>13</v>
      </c>
      <c r="D19" s="25" t="s">
        <v>1014</v>
      </c>
      <c r="E19" s="25" t="s">
        <v>1015</v>
      </c>
      <c r="F19" s="25" t="s">
        <v>235</v>
      </c>
      <c r="G19" s="25" t="s">
        <v>159</v>
      </c>
      <c r="H19" s="25" t="s">
        <v>40</v>
      </c>
      <c r="I19" s="25"/>
      <c r="K19" s="25">
        <v>13</v>
      </c>
      <c r="L19" s="25" t="s">
        <v>1015</v>
      </c>
      <c r="M19" s="25" t="s">
        <v>1016</v>
      </c>
      <c r="N19" s="25" t="s">
        <v>1007</v>
      </c>
      <c r="O19" s="25">
        <v>0</v>
      </c>
      <c r="P19" s="25" t="s">
        <v>180</v>
      </c>
    </row>
    <row r="20" spans="3:16" s="74" customFormat="1" x14ac:dyDescent="0.15">
      <c r="C20" s="25">
        <v>14</v>
      </c>
      <c r="D20" s="25" t="s">
        <v>1017</v>
      </c>
      <c r="E20" s="25" t="s">
        <v>1018</v>
      </c>
      <c r="F20" s="25" t="s">
        <v>235</v>
      </c>
      <c r="G20" s="25" t="s">
        <v>159</v>
      </c>
      <c r="H20" s="25" t="s">
        <v>40</v>
      </c>
      <c r="I20" s="25"/>
      <c r="K20" s="25">
        <v>14</v>
      </c>
      <c r="L20" s="25" t="s">
        <v>1018</v>
      </c>
      <c r="M20" s="25" t="s">
        <v>1019</v>
      </c>
      <c r="N20" s="25" t="s">
        <v>1007</v>
      </c>
      <c r="O20" s="25">
        <v>0</v>
      </c>
      <c r="P20" s="25" t="s">
        <v>180</v>
      </c>
    </row>
    <row r="21" spans="3:16" s="74" customFormat="1" x14ac:dyDescent="0.15">
      <c r="C21" s="25">
        <v>15</v>
      </c>
      <c r="D21" s="25" t="s">
        <v>1020</v>
      </c>
      <c r="E21" s="25" t="s">
        <v>1021</v>
      </c>
      <c r="F21" s="25" t="s">
        <v>235</v>
      </c>
      <c r="G21" s="25" t="s">
        <v>159</v>
      </c>
      <c r="H21" s="25" t="s">
        <v>40</v>
      </c>
      <c r="I21" s="25"/>
      <c r="K21" s="25">
        <v>15</v>
      </c>
      <c r="L21" s="25" t="s">
        <v>1021</v>
      </c>
      <c r="M21" s="25" t="s">
        <v>1022</v>
      </c>
      <c r="N21" s="25" t="s">
        <v>1007</v>
      </c>
      <c r="O21" s="25">
        <v>0</v>
      </c>
      <c r="P21" s="25" t="s">
        <v>180</v>
      </c>
    </row>
    <row r="22" spans="3:16" s="74" customFormat="1" x14ac:dyDescent="0.15">
      <c r="C22" s="25">
        <v>16</v>
      </c>
      <c r="D22" s="25" t="s">
        <v>1023</v>
      </c>
      <c r="E22" s="25" t="s">
        <v>1024</v>
      </c>
      <c r="F22" s="25" t="s">
        <v>235</v>
      </c>
      <c r="G22" s="25" t="s">
        <v>159</v>
      </c>
      <c r="H22" s="25" t="s">
        <v>40</v>
      </c>
      <c r="I22" s="25"/>
      <c r="K22" s="25">
        <v>16</v>
      </c>
      <c r="L22" s="25" t="s">
        <v>1025</v>
      </c>
      <c r="M22" s="25" t="s">
        <v>1026</v>
      </c>
      <c r="N22" s="25" t="s">
        <v>1007</v>
      </c>
      <c r="O22" s="25">
        <v>0</v>
      </c>
      <c r="P22" s="25" t="s">
        <v>180</v>
      </c>
    </row>
    <row r="23" spans="3:16" s="74" customFormat="1" x14ac:dyDescent="0.15">
      <c r="C23" s="25">
        <v>17</v>
      </c>
      <c r="D23" s="25" t="s">
        <v>1027</v>
      </c>
      <c r="E23" s="25" t="s">
        <v>1028</v>
      </c>
      <c r="F23" s="25" t="s">
        <v>235</v>
      </c>
      <c r="G23" s="25" t="s">
        <v>159</v>
      </c>
      <c r="H23" s="25" t="s">
        <v>40</v>
      </c>
      <c r="I23" s="25"/>
      <c r="K23" s="25">
        <v>17</v>
      </c>
      <c r="L23" s="25" t="s">
        <v>1028</v>
      </c>
      <c r="M23" s="25" t="s">
        <v>1029</v>
      </c>
      <c r="N23" s="25" t="s">
        <v>1007</v>
      </c>
      <c r="O23" s="25">
        <v>0</v>
      </c>
      <c r="P23" s="25" t="s">
        <v>180</v>
      </c>
    </row>
    <row r="24" spans="3:16" s="74" customFormat="1" x14ac:dyDescent="0.15">
      <c r="C24" s="25">
        <v>18</v>
      </c>
      <c r="D24" s="25" t="s">
        <v>1030</v>
      </c>
      <c r="E24" s="25" t="s">
        <v>1031</v>
      </c>
      <c r="F24" s="25" t="s">
        <v>235</v>
      </c>
      <c r="G24" s="25" t="s">
        <v>159</v>
      </c>
      <c r="H24" s="25" t="s">
        <v>40</v>
      </c>
      <c r="I24" s="25"/>
      <c r="K24" s="25">
        <v>18</v>
      </c>
      <c r="L24" s="25" t="s">
        <v>1031</v>
      </c>
      <c r="M24" s="25" t="s">
        <v>1032</v>
      </c>
      <c r="N24" s="25" t="s">
        <v>1007</v>
      </c>
      <c r="O24" s="25">
        <v>0</v>
      </c>
      <c r="P24" s="25" t="s">
        <v>180</v>
      </c>
    </row>
    <row r="25" spans="3:16" s="74" customFormat="1" x14ac:dyDescent="0.15">
      <c r="C25" s="25">
        <v>19</v>
      </c>
      <c r="D25" s="25" t="s">
        <v>1033</v>
      </c>
      <c r="E25" s="25" t="s">
        <v>1034</v>
      </c>
      <c r="F25" s="25" t="s">
        <v>235</v>
      </c>
      <c r="G25" s="25" t="s">
        <v>159</v>
      </c>
      <c r="H25" s="25" t="s">
        <v>40</v>
      </c>
      <c r="I25" s="25"/>
      <c r="K25" s="25">
        <v>19</v>
      </c>
      <c r="L25" s="25" t="s">
        <v>1034</v>
      </c>
      <c r="M25" s="25" t="s">
        <v>1035</v>
      </c>
      <c r="N25" s="25" t="s">
        <v>1007</v>
      </c>
      <c r="O25" s="25">
        <v>0</v>
      </c>
      <c r="P25" s="25" t="s">
        <v>180</v>
      </c>
    </row>
    <row r="26" spans="3:16" s="74" customFormat="1" x14ac:dyDescent="0.15">
      <c r="C26" s="25">
        <v>20</v>
      </c>
      <c r="D26" s="25" t="s">
        <v>1036</v>
      </c>
      <c r="E26" s="25" t="s">
        <v>1037</v>
      </c>
      <c r="F26" s="25" t="s">
        <v>235</v>
      </c>
      <c r="G26" s="25" t="s">
        <v>159</v>
      </c>
      <c r="H26" s="25" t="s">
        <v>40</v>
      </c>
      <c r="I26" s="25"/>
      <c r="K26" s="25">
        <v>20</v>
      </c>
      <c r="L26" s="25" t="s">
        <v>1037</v>
      </c>
      <c r="M26" s="25" t="s">
        <v>1038</v>
      </c>
      <c r="N26" s="25" t="s">
        <v>1007</v>
      </c>
      <c r="O26" s="25">
        <v>0</v>
      </c>
      <c r="P26" s="25" t="s">
        <v>180</v>
      </c>
    </row>
    <row r="27" spans="3:16" s="74" customFormat="1" x14ac:dyDescent="0.15">
      <c r="C27" s="25">
        <v>21</v>
      </c>
      <c r="D27" s="25" t="s">
        <v>1039</v>
      </c>
      <c r="E27" s="25" t="s">
        <v>1040</v>
      </c>
      <c r="F27" s="25" t="s">
        <v>235</v>
      </c>
      <c r="G27" s="25" t="s">
        <v>159</v>
      </c>
      <c r="H27" s="25" t="s">
        <v>40</v>
      </c>
      <c r="I27" s="25"/>
      <c r="K27" s="25">
        <v>21</v>
      </c>
      <c r="L27" s="25" t="s">
        <v>1040</v>
      </c>
      <c r="M27" s="25" t="s">
        <v>1041</v>
      </c>
      <c r="N27" s="25" t="s">
        <v>1007</v>
      </c>
      <c r="O27" s="25">
        <v>0</v>
      </c>
      <c r="P27" s="25" t="s">
        <v>180</v>
      </c>
    </row>
    <row r="28" spans="3:16" s="74" customFormat="1" x14ac:dyDescent="0.15">
      <c r="C28" s="25">
        <v>22</v>
      </c>
      <c r="D28" s="25" t="s">
        <v>1042</v>
      </c>
      <c r="E28" s="25" t="s">
        <v>1043</v>
      </c>
      <c r="F28" s="25" t="s">
        <v>235</v>
      </c>
      <c r="G28" s="25" t="s">
        <v>159</v>
      </c>
      <c r="H28" s="25" t="s">
        <v>40</v>
      </c>
      <c r="I28" s="25"/>
      <c r="K28" s="25">
        <v>22</v>
      </c>
      <c r="L28" s="25" t="s">
        <v>1043</v>
      </c>
      <c r="M28" s="25" t="s">
        <v>1044</v>
      </c>
      <c r="N28" s="25" t="s">
        <v>1007</v>
      </c>
      <c r="O28" s="25">
        <v>0</v>
      </c>
      <c r="P28" s="25" t="s">
        <v>224</v>
      </c>
    </row>
    <row r="29" spans="3:16" s="74" customFormat="1" x14ac:dyDescent="0.15">
      <c r="C29" s="25">
        <v>23</v>
      </c>
      <c r="D29" s="25" t="s">
        <v>1045</v>
      </c>
      <c r="E29" s="25" t="s">
        <v>1046</v>
      </c>
      <c r="F29" s="25" t="s">
        <v>235</v>
      </c>
      <c r="G29" s="25" t="s">
        <v>159</v>
      </c>
      <c r="H29" s="25" t="s">
        <v>40</v>
      </c>
      <c r="I29" s="25"/>
      <c r="K29" s="25">
        <v>23</v>
      </c>
      <c r="L29" s="25" t="s">
        <v>1046</v>
      </c>
      <c r="M29" s="25" t="s">
        <v>1047</v>
      </c>
      <c r="N29" s="25" t="s">
        <v>1007</v>
      </c>
      <c r="O29" s="25">
        <v>0</v>
      </c>
      <c r="P29" s="25" t="s">
        <v>224</v>
      </c>
    </row>
    <row r="30" spans="3:16" s="74" customFormat="1" x14ac:dyDescent="0.15">
      <c r="C30" s="25">
        <v>24</v>
      </c>
      <c r="D30" s="25" t="s">
        <v>1048</v>
      </c>
      <c r="E30" s="25" t="s">
        <v>1049</v>
      </c>
      <c r="F30" s="25" t="s">
        <v>235</v>
      </c>
      <c r="G30" s="25" t="s">
        <v>159</v>
      </c>
      <c r="H30" s="25" t="s">
        <v>40</v>
      </c>
      <c r="I30" s="25"/>
      <c r="K30" s="25">
        <v>24</v>
      </c>
      <c r="L30" s="25" t="s">
        <v>1049</v>
      </c>
      <c r="M30" s="25" t="s">
        <v>1050</v>
      </c>
      <c r="N30" s="25" t="s">
        <v>1007</v>
      </c>
      <c r="O30" s="25">
        <v>0</v>
      </c>
      <c r="P30" s="25" t="s">
        <v>180</v>
      </c>
    </row>
    <row r="31" spans="3:16" s="74" customFormat="1" x14ac:dyDescent="0.15">
      <c r="C31" s="25">
        <v>25</v>
      </c>
      <c r="D31" s="25" t="s">
        <v>1051</v>
      </c>
      <c r="E31" s="25" t="s">
        <v>1052</v>
      </c>
      <c r="F31" s="25" t="s">
        <v>235</v>
      </c>
      <c r="G31" s="25" t="s">
        <v>159</v>
      </c>
      <c r="H31" s="25" t="s">
        <v>40</v>
      </c>
      <c r="I31" s="25"/>
      <c r="K31" s="25">
        <v>25</v>
      </c>
      <c r="L31" s="25" t="s">
        <v>1053</v>
      </c>
      <c r="M31" s="25" t="s">
        <v>1054</v>
      </c>
      <c r="N31" s="25" t="s">
        <v>1007</v>
      </c>
      <c r="O31" s="25">
        <v>0</v>
      </c>
      <c r="P31" s="25" t="s">
        <v>180</v>
      </c>
    </row>
    <row r="32" spans="3:16"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57ADC23E-DBC7-486B-BD9F-ED2C35D3FA84}"/>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BEE7A-0DEB-4637-B894-0029DDD549E1}">
  <sheetPr codeName="Sheet4">
    <pageSetUpPr fitToPage="1"/>
  </sheetPr>
  <dimension ref="B2:P709"/>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
        <v>247</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5" t="s">
        <v>120</v>
      </c>
      <c r="D6" s="15" t="s">
        <v>121</v>
      </c>
      <c r="E6" s="15" t="s">
        <v>122</v>
      </c>
      <c r="F6" s="15" t="s">
        <v>123</v>
      </c>
      <c r="G6" s="15" t="s">
        <v>114</v>
      </c>
      <c r="H6" s="15" t="s">
        <v>124</v>
      </c>
      <c r="I6" s="3" t="s">
        <v>115</v>
      </c>
      <c r="K6" s="15" t="s">
        <v>120</v>
      </c>
      <c r="L6" s="11" t="s">
        <v>176</v>
      </c>
      <c r="M6" s="9" t="s">
        <v>177</v>
      </c>
      <c r="N6" s="10" t="s">
        <v>178</v>
      </c>
      <c r="O6" s="10" t="s">
        <v>179</v>
      </c>
      <c r="P6" s="10" t="s">
        <v>180</v>
      </c>
    </row>
    <row r="7" spans="2:16" s="74" customFormat="1" x14ac:dyDescent="0.15">
      <c r="C7" s="25">
        <v>2</v>
      </c>
      <c r="D7" s="25" t="s">
        <v>125</v>
      </c>
      <c r="E7" s="25" t="s">
        <v>126</v>
      </c>
      <c r="F7" s="25" t="s">
        <v>39</v>
      </c>
      <c r="G7" s="25">
        <v>8</v>
      </c>
      <c r="H7" s="25" t="s">
        <v>40</v>
      </c>
      <c r="I7" s="25"/>
      <c r="K7" s="25">
        <v>1</v>
      </c>
      <c r="L7" s="25" t="s">
        <v>232</v>
      </c>
      <c r="M7" s="25" t="s">
        <v>229</v>
      </c>
      <c r="N7" s="25" t="s">
        <v>254</v>
      </c>
      <c r="O7" s="25">
        <v>1</v>
      </c>
      <c r="P7" s="25" t="s">
        <v>224</v>
      </c>
    </row>
    <row r="8" spans="2:16" s="74" customFormat="1" x14ac:dyDescent="0.15">
      <c r="C8" s="25">
        <v>5</v>
      </c>
      <c r="D8" s="25" t="s">
        <v>41</v>
      </c>
      <c r="E8" s="25" t="s">
        <v>42</v>
      </c>
      <c r="F8" s="25" t="s">
        <v>39</v>
      </c>
      <c r="G8" s="25">
        <v>8</v>
      </c>
      <c r="H8" s="25" t="s">
        <v>40</v>
      </c>
      <c r="I8" s="25"/>
      <c r="K8" s="25">
        <v>2</v>
      </c>
      <c r="L8" s="25" t="s">
        <v>42</v>
      </c>
      <c r="M8" s="25" t="s">
        <v>188</v>
      </c>
      <c r="N8" s="25" t="s">
        <v>254</v>
      </c>
      <c r="O8" s="25">
        <v>1</v>
      </c>
      <c r="P8" s="25" t="s">
        <v>224</v>
      </c>
    </row>
    <row r="9" spans="2:16" s="74" customFormat="1" x14ac:dyDescent="0.15">
      <c r="C9" s="25">
        <v>1</v>
      </c>
      <c r="D9" s="25" t="s">
        <v>33</v>
      </c>
      <c r="E9" s="25" t="s">
        <v>287</v>
      </c>
      <c r="F9" s="25" t="s">
        <v>35</v>
      </c>
      <c r="G9" s="25"/>
      <c r="H9" s="25" t="s">
        <v>764</v>
      </c>
      <c r="I9" s="25" t="s">
        <v>36</v>
      </c>
      <c r="K9" s="25">
        <v>3</v>
      </c>
      <c r="L9" s="25" t="s">
        <v>34</v>
      </c>
      <c r="M9" s="25" t="s">
        <v>187</v>
      </c>
      <c r="N9" s="25" t="s">
        <v>35</v>
      </c>
      <c r="O9" s="25">
        <v>1</v>
      </c>
      <c r="P9" s="25" t="s">
        <v>224</v>
      </c>
    </row>
    <row r="10" spans="2:16" s="74" customFormat="1" x14ac:dyDescent="0.15">
      <c r="C10" s="25">
        <v>3</v>
      </c>
      <c r="D10" s="25" t="s">
        <v>37</v>
      </c>
      <c r="E10" s="25" t="s">
        <v>38</v>
      </c>
      <c r="F10" s="25" t="s">
        <v>39</v>
      </c>
      <c r="G10" s="25">
        <v>15</v>
      </c>
      <c r="H10" s="25" t="s">
        <v>40</v>
      </c>
      <c r="I10" s="25"/>
      <c r="K10" s="25">
        <v>4</v>
      </c>
      <c r="L10" s="25" t="s">
        <v>38</v>
      </c>
      <c r="M10" s="25" t="s">
        <v>191</v>
      </c>
      <c r="N10" s="25" t="s">
        <v>254</v>
      </c>
      <c r="O10" s="25">
        <v>0</v>
      </c>
      <c r="P10" s="25" t="s">
        <v>224</v>
      </c>
    </row>
    <row r="11" spans="2:16" s="74" customFormat="1" x14ac:dyDescent="0.15">
      <c r="C11" s="25">
        <v>6</v>
      </c>
      <c r="D11" s="25" t="s">
        <v>1055</v>
      </c>
      <c r="E11" s="25" t="s">
        <v>978</v>
      </c>
      <c r="F11" s="25" t="s">
        <v>1056</v>
      </c>
      <c r="G11" s="25">
        <v>12</v>
      </c>
      <c r="H11" s="25" t="s">
        <v>40</v>
      </c>
      <c r="I11" s="25"/>
      <c r="K11" s="25">
        <v>5</v>
      </c>
      <c r="L11" s="25" t="s">
        <v>978</v>
      </c>
      <c r="M11" s="25" t="s">
        <v>1057</v>
      </c>
      <c r="N11" s="25" t="s">
        <v>254</v>
      </c>
      <c r="O11" s="25">
        <v>1</v>
      </c>
      <c r="P11" s="25" t="s">
        <v>224</v>
      </c>
    </row>
    <row r="12" spans="2:16" s="74" customFormat="1" x14ac:dyDescent="0.15">
      <c r="C12" s="25">
        <v>4</v>
      </c>
      <c r="D12" s="25" t="s">
        <v>127</v>
      </c>
      <c r="E12" s="25" t="s">
        <v>128</v>
      </c>
      <c r="F12" s="25" t="s">
        <v>39</v>
      </c>
      <c r="G12" s="25">
        <v>20</v>
      </c>
      <c r="H12" s="25"/>
      <c r="I12" s="25"/>
      <c r="K12" s="25">
        <v>6</v>
      </c>
      <c r="L12" s="25" t="s">
        <v>204</v>
      </c>
      <c r="M12" s="25" t="s">
        <v>205</v>
      </c>
      <c r="N12" s="25" t="s">
        <v>254</v>
      </c>
      <c r="O12" s="25">
        <v>0</v>
      </c>
      <c r="P12" s="25" t="s">
        <v>224</v>
      </c>
    </row>
    <row r="13" spans="2:16" s="74" customFormat="1" x14ac:dyDescent="0.15">
      <c r="C13" s="25">
        <v>7</v>
      </c>
      <c r="D13" s="25" t="s">
        <v>48</v>
      </c>
      <c r="E13" s="25" t="s">
        <v>49</v>
      </c>
      <c r="F13" s="25" t="s">
        <v>35</v>
      </c>
      <c r="G13" s="25"/>
      <c r="H13" s="25"/>
      <c r="I13" s="25"/>
      <c r="K13" s="25">
        <v>7</v>
      </c>
      <c r="L13" s="25" t="s">
        <v>198</v>
      </c>
      <c r="M13" s="25" t="s">
        <v>199</v>
      </c>
      <c r="N13" s="25" t="s">
        <v>35</v>
      </c>
      <c r="O13" s="25">
        <v>0</v>
      </c>
      <c r="P13" s="25"/>
    </row>
    <row r="14" spans="2:16" s="74" customFormat="1" x14ac:dyDescent="0.15">
      <c r="C14" s="25">
        <v>8</v>
      </c>
      <c r="D14" s="25" t="s">
        <v>43</v>
      </c>
      <c r="E14" s="25" t="s">
        <v>44</v>
      </c>
      <c r="F14" s="25" t="s">
        <v>39</v>
      </c>
      <c r="G14" s="25">
        <v>22</v>
      </c>
      <c r="H14" s="25"/>
      <c r="I14" s="25"/>
      <c r="K14" s="25">
        <v>8</v>
      </c>
      <c r="L14" s="25" t="s">
        <v>192</v>
      </c>
      <c r="M14" s="25" t="s">
        <v>193</v>
      </c>
      <c r="N14" s="25" t="s">
        <v>254</v>
      </c>
      <c r="O14" s="25">
        <v>0</v>
      </c>
      <c r="P14" s="25" t="s">
        <v>224</v>
      </c>
    </row>
    <row r="15" spans="2:16" s="74" customFormat="1" x14ac:dyDescent="0.15">
      <c r="C15" s="25">
        <v>9</v>
      </c>
      <c r="D15" s="25" t="s">
        <v>45</v>
      </c>
      <c r="E15" s="25" t="s">
        <v>46</v>
      </c>
      <c r="F15" s="25" t="s">
        <v>39</v>
      </c>
      <c r="G15" s="25">
        <v>40</v>
      </c>
      <c r="H15" s="25"/>
      <c r="I15" s="25"/>
      <c r="K15" s="25">
        <v>9</v>
      </c>
      <c r="L15" s="25" t="s">
        <v>194</v>
      </c>
      <c r="M15" s="25" t="s">
        <v>195</v>
      </c>
      <c r="N15" s="25" t="s">
        <v>254</v>
      </c>
      <c r="O15" s="25">
        <v>0</v>
      </c>
      <c r="P15" s="25" t="s">
        <v>224</v>
      </c>
    </row>
    <row r="16" spans="2:16" s="74" customFormat="1" x14ac:dyDescent="0.15">
      <c r="C16" s="25">
        <v>10</v>
      </c>
      <c r="D16" s="25" t="s">
        <v>50</v>
      </c>
      <c r="E16" s="25" t="s">
        <v>51</v>
      </c>
      <c r="F16" s="25" t="s">
        <v>186</v>
      </c>
      <c r="G16" s="25"/>
      <c r="H16" s="25" t="s">
        <v>40</v>
      </c>
      <c r="I16" s="25" t="s">
        <v>52</v>
      </c>
      <c r="K16" s="25">
        <v>10</v>
      </c>
      <c r="L16" s="25" t="s">
        <v>51</v>
      </c>
      <c r="M16" s="25" t="s">
        <v>200</v>
      </c>
      <c r="N16" s="25" t="s">
        <v>35</v>
      </c>
      <c r="O16" s="25">
        <v>0</v>
      </c>
      <c r="P16" s="25"/>
    </row>
    <row r="17" spans="3:16" s="74" customFormat="1" x14ac:dyDescent="0.15">
      <c r="C17" s="25">
        <v>11</v>
      </c>
      <c r="D17" s="25" t="s">
        <v>1058</v>
      </c>
      <c r="E17" s="25" t="s">
        <v>1059</v>
      </c>
      <c r="F17" s="25" t="s">
        <v>235</v>
      </c>
      <c r="G17" s="25" t="s">
        <v>1005</v>
      </c>
      <c r="H17" s="25" t="s">
        <v>40</v>
      </c>
      <c r="I17" s="25"/>
      <c r="K17" s="25">
        <v>11</v>
      </c>
      <c r="L17" s="25" t="s">
        <v>1059</v>
      </c>
      <c r="M17" s="25" t="s">
        <v>1060</v>
      </c>
      <c r="N17" s="25" t="s">
        <v>1007</v>
      </c>
      <c r="O17" s="25">
        <v>0</v>
      </c>
      <c r="P17" s="25" t="s">
        <v>180</v>
      </c>
    </row>
    <row r="18" spans="3:16" s="74" customFormat="1" x14ac:dyDescent="0.15">
      <c r="C18" s="25">
        <v>12</v>
      </c>
      <c r="D18" s="25" t="s">
        <v>1061</v>
      </c>
      <c r="E18" s="25" t="s">
        <v>1062</v>
      </c>
      <c r="F18" s="25" t="s">
        <v>235</v>
      </c>
      <c r="G18" s="25" t="s">
        <v>1005</v>
      </c>
      <c r="H18" s="25" t="s">
        <v>40</v>
      </c>
      <c r="I18" s="25"/>
      <c r="K18" s="25">
        <v>12</v>
      </c>
      <c r="L18" s="25" t="s">
        <v>1062</v>
      </c>
      <c r="M18" s="25" t="s">
        <v>1063</v>
      </c>
      <c r="N18" s="25" t="s">
        <v>1007</v>
      </c>
      <c r="O18" s="25">
        <v>0</v>
      </c>
      <c r="P18" s="25" t="s">
        <v>180</v>
      </c>
    </row>
    <row r="19" spans="3:16" s="74" customFormat="1" x14ac:dyDescent="0.15">
      <c r="C19" s="25">
        <v>13</v>
      </c>
      <c r="D19" s="25" t="s">
        <v>1064</v>
      </c>
      <c r="E19" s="25" t="s">
        <v>1065</v>
      </c>
      <c r="F19" s="25" t="s">
        <v>235</v>
      </c>
      <c r="G19" s="25" t="s">
        <v>1005</v>
      </c>
      <c r="H19" s="25" t="s">
        <v>764</v>
      </c>
      <c r="I19" s="25"/>
      <c r="K19" s="25">
        <v>13</v>
      </c>
      <c r="L19" s="25" t="s">
        <v>1065</v>
      </c>
      <c r="M19" s="25" t="s">
        <v>1066</v>
      </c>
      <c r="N19" s="25" t="s">
        <v>1007</v>
      </c>
      <c r="O19" s="25">
        <v>0</v>
      </c>
      <c r="P19" s="25" t="s">
        <v>180</v>
      </c>
    </row>
    <row r="20" spans="3:16" s="74" customFormat="1" x14ac:dyDescent="0.15">
      <c r="C20" s="25">
        <v>14</v>
      </c>
      <c r="D20" s="25" t="s">
        <v>1067</v>
      </c>
      <c r="E20" s="25" t="s">
        <v>1068</v>
      </c>
      <c r="F20" s="25" t="s">
        <v>235</v>
      </c>
      <c r="G20" s="25" t="s">
        <v>1005</v>
      </c>
      <c r="H20" s="25" t="s">
        <v>40</v>
      </c>
      <c r="I20" s="25"/>
      <c r="K20" s="25">
        <v>14</v>
      </c>
      <c r="L20" s="25" t="s">
        <v>1068</v>
      </c>
      <c r="M20" s="25" t="s">
        <v>1069</v>
      </c>
      <c r="N20" s="25" t="s">
        <v>1007</v>
      </c>
      <c r="O20" s="25">
        <v>0</v>
      </c>
      <c r="P20" s="25" t="s">
        <v>180</v>
      </c>
    </row>
    <row r="21" spans="3:16" s="74" customFormat="1" x14ac:dyDescent="0.15">
      <c r="C21" s="25">
        <v>15</v>
      </c>
      <c r="D21" s="25" t="s">
        <v>1070</v>
      </c>
      <c r="E21" s="25" t="s">
        <v>1071</v>
      </c>
      <c r="F21" s="25" t="s">
        <v>235</v>
      </c>
      <c r="G21" s="25" t="s">
        <v>1005</v>
      </c>
      <c r="H21" s="25" t="s">
        <v>764</v>
      </c>
      <c r="I21" s="25"/>
      <c r="K21" s="25">
        <v>15</v>
      </c>
      <c r="L21" s="25" t="s">
        <v>1071</v>
      </c>
      <c r="M21" s="25" t="s">
        <v>1072</v>
      </c>
      <c r="N21" s="25" t="s">
        <v>1007</v>
      </c>
      <c r="O21" s="25">
        <v>0</v>
      </c>
      <c r="P21" s="25" t="s">
        <v>180</v>
      </c>
    </row>
    <row r="22" spans="3:16" s="74" customFormat="1" x14ac:dyDescent="0.15">
      <c r="C22" s="25">
        <v>16</v>
      </c>
      <c r="D22" s="25" t="s">
        <v>1073</v>
      </c>
      <c r="E22" s="25" t="s">
        <v>1074</v>
      </c>
      <c r="F22" s="25" t="s">
        <v>235</v>
      </c>
      <c r="G22" s="25" t="s">
        <v>1005</v>
      </c>
      <c r="H22" s="25" t="s">
        <v>40</v>
      </c>
      <c r="I22" s="25"/>
      <c r="K22" s="25">
        <v>16</v>
      </c>
      <c r="L22" s="25" t="s">
        <v>1074</v>
      </c>
      <c r="M22" s="25" t="s">
        <v>1075</v>
      </c>
      <c r="N22" s="25" t="s">
        <v>1007</v>
      </c>
      <c r="O22" s="25">
        <v>0</v>
      </c>
      <c r="P22" s="25" t="s">
        <v>180</v>
      </c>
    </row>
    <row r="23" spans="3:16" s="74" customFormat="1" x14ac:dyDescent="0.15">
      <c r="C23" s="25">
        <v>17</v>
      </c>
      <c r="D23" s="25" t="s">
        <v>1076</v>
      </c>
      <c r="E23" s="25" t="s">
        <v>1077</v>
      </c>
      <c r="F23" s="25" t="s">
        <v>235</v>
      </c>
      <c r="G23" s="25" t="s">
        <v>159</v>
      </c>
      <c r="H23" s="25" t="s">
        <v>40</v>
      </c>
      <c r="I23" s="25"/>
      <c r="K23" s="25">
        <v>17</v>
      </c>
      <c r="L23" s="25" t="s">
        <v>1077</v>
      </c>
      <c r="M23" s="25" t="s">
        <v>1078</v>
      </c>
      <c r="N23" s="25" t="s">
        <v>1007</v>
      </c>
      <c r="O23" s="25">
        <v>0</v>
      </c>
      <c r="P23" s="25" t="s">
        <v>180</v>
      </c>
    </row>
    <row r="24" spans="3:16" s="74" customFormat="1" x14ac:dyDescent="0.15">
      <c r="C24" s="25">
        <v>18</v>
      </c>
      <c r="D24" s="25" t="s">
        <v>1079</v>
      </c>
      <c r="E24" s="25" t="s">
        <v>1080</v>
      </c>
      <c r="F24" s="25" t="s">
        <v>235</v>
      </c>
      <c r="G24" s="25" t="s">
        <v>159</v>
      </c>
      <c r="H24" s="25" t="s">
        <v>40</v>
      </c>
      <c r="I24" s="25"/>
      <c r="K24" s="25">
        <v>18</v>
      </c>
      <c r="L24" s="25" t="s">
        <v>1080</v>
      </c>
      <c r="M24" s="25" t="s">
        <v>1081</v>
      </c>
      <c r="N24" s="25" t="s">
        <v>1007</v>
      </c>
      <c r="O24" s="25">
        <v>0</v>
      </c>
      <c r="P24" s="25" t="s">
        <v>180</v>
      </c>
    </row>
    <row r="25" spans="3:16" s="74" customFormat="1" x14ac:dyDescent="0.15">
      <c r="C25" s="25">
        <v>19</v>
      </c>
      <c r="D25" s="25" t="s">
        <v>1082</v>
      </c>
      <c r="E25" s="25" t="s">
        <v>1083</v>
      </c>
      <c r="F25" s="25" t="s">
        <v>235</v>
      </c>
      <c r="G25" s="25" t="s">
        <v>159</v>
      </c>
      <c r="H25" s="25" t="s">
        <v>40</v>
      </c>
      <c r="I25" s="25"/>
      <c r="K25" s="25">
        <v>19</v>
      </c>
      <c r="L25" s="25" t="s">
        <v>1083</v>
      </c>
      <c r="M25" s="25" t="s">
        <v>1084</v>
      </c>
      <c r="N25" s="25" t="s">
        <v>1007</v>
      </c>
      <c r="O25" s="25">
        <v>0</v>
      </c>
      <c r="P25" s="25" t="s">
        <v>180</v>
      </c>
    </row>
    <row r="26" spans="3:16" s="74" customFormat="1" x14ac:dyDescent="0.15">
      <c r="C26" s="25">
        <v>20</v>
      </c>
      <c r="D26" s="25" t="s">
        <v>1085</v>
      </c>
      <c r="E26" s="25" t="s">
        <v>1086</v>
      </c>
      <c r="F26" s="25" t="s">
        <v>235</v>
      </c>
      <c r="G26" s="25" t="s">
        <v>159</v>
      </c>
      <c r="H26" s="25" t="s">
        <v>40</v>
      </c>
      <c r="I26" s="25"/>
      <c r="K26" s="25">
        <v>20</v>
      </c>
      <c r="L26" s="25" t="s">
        <v>1086</v>
      </c>
      <c r="M26" s="25" t="s">
        <v>1087</v>
      </c>
      <c r="N26" s="25" t="s">
        <v>1007</v>
      </c>
      <c r="O26" s="25">
        <v>0</v>
      </c>
      <c r="P26" s="25" t="s">
        <v>180</v>
      </c>
    </row>
    <row r="27" spans="3:16" s="74" customFormat="1" x14ac:dyDescent="0.15">
      <c r="C27" s="25">
        <v>21</v>
      </c>
      <c r="D27" s="25" t="s">
        <v>1088</v>
      </c>
      <c r="E27" s="25" t="s">
        <v>1089</v>
      </c>
      <c r="F27" s="25" t="s">
        <v>235</v>
      </c>
      <c r="G27" s="25" t="s">
        <v>159</v>
      </c>
      <c r="H27" s="25" t="s">
        <v>40</v>
      </c>
      <c r="I27" s="25"/>
      <c r="K27" s="25">
        <v>21</v>
      </c>
      <c r="L27" s="25" t="s">
        <v>1089</v>
      </c>
      <c r="M27" s="25" t="s">
        <v>1090</v>
      </c>
      <c r="N27" s="25" t="s">
        <v>1007</v>
      </c>
      <c r="O27" s="25">
        <v>0</v>
      </c>
      <c r="P27" s="25" t="s">
        <v>180</v>
      </c>
    </row>
    <row r="28" spans="3:16" s="74" customFormat="1" x14ac:dyDescent="0.15">
      <c r="C28" s="25">
        <v>22</v>
      </c>
      <c r="D28" s="25" t="s">
        <v>1091</v>
      </c>
      <c r="E28" s="25" t="s">
        <v>1092</v>
      </c>
      <c r="F28" s="25" t="s">
        <v>235</v>
      </c>
      <c r="G28" s="25" t="s">
        <v>159</v>
      </c>
      <c r="H28" s="25" t="s">
        <v>40</v>
      </c>
      <c r="I28" s="25"/>
      <c r="K28" s="25">
        <v>22</v>
      </c>
      <c r="L28" s="25" t="s">
        <v>1092</v>
      </c>
      <c r="M28" s="25" t="s">
        <v>1093</v>
      </c>
      <c r="N28" s="25" t="s">
        <v>1007</v>
      </c>
      <c r="O28" s="25">
        <v>0</v>
      </c>
      <c r="P28" s="25" t="s">
        <v>180</v>
      </c>
    </row>
    <row r="29" spans="3:16" s="74" customFormat="1" x14ac:dyDescent="0.15">
      <c r="C29" s="25">
        <v>23</v>
      </c>
      <c r="D29" s="25" t="s">
        <v>1094</v>
      </c>
      <c r="E29" s="25" t="s">
        <v>1095</v>
      </c>
      <c r="F29" s="25" t="s">
        <v>235</v>
      </c>
      <c r="G29" s="25" t="s">
        <v>159</v>
      </c>
      <c r="H29" s="25" t="s">
        <v>40</v>
      </c>
      <c r="I29" s="25"/>
      <c r="K29" s="25">
        <v>23</v>
      </c>
      <c r="L29" s="25" t="s">
        <v>1095</v>
      </c>
      <c r="M29" s="25" t="s">
        <v>1096</v>
      </c>
      <c r="N29" s="25" t="s">
        <v>1007</v>
      </c>
      <c r="O29" s="25">
        <v>0</v>
      </c>
      <c r="P29" s="25" t="s">
        <v>180</v>
      </c>
    </row>
    <row r="30" spans="3:16" s="74" customFormat="1" x14ac:dyDescent="0.15">
      <c r="C30" s="25">
        <v>24</v>
      </c>
      <c r="D30" s="25" t="s">
        <v>1097</v>
      </c>
      <c r="E30" s="25" t="s">
        <v>1098</v>
      </c>
      <c r="F30" s="25" t="s">
        <v>235</v>
      </c>
      <c r="G30" s="25" t="s">
        <v>159</v>
      </c>
      <c r="H30" s="25" t="s">
        <v>40</v>
      </c>
      <c r="I30" s="25"/>
      <c r="K30" s="25">
        <v>24</v>
      </c>
      <c r="L30" s="25" t="s">
        <v>1098</v>
      </c>
      <c r="M30" s="25" t="s">
        <v>1099</v>
      </c>
      <c r="N30" s="25" t="s">
        <v>1007</v>
      </c>
      <c r="O30" s="25">
        <v>0</v>
      </c>
      <c r="P30" s="25" t="s">
        <v>180</v>
      </c>
    </row>
    <row r="31" spans="3:16" s="74" customFormat="1" x14ac:dyDescent="0.15">
      <c r="C31" s="25">
        <v>25</v>
      </c>
      <c r="D31" s="25" t="s">
        <v>1100</v>
      </c>
      <c r="E31" s="25" t="s">
        <v>1101</v>
      </c>
      <c r="F31" s="25" t="s">
        <v>235</v>
      </c>
      <c r="G31" s="25" t="s">
        <v>159</v>
      </c>
      <c r="H31" s="25" t="s">
        <v>40</v>
      </c>
      <c r="I31" s="25"/>
      <c r="K31" s="25">
        <v>25</v>
      </c>
      <c r="L31" s="25" t="s">
        <v>1101</v>
      </c>
      <c r="M31" s="25" t="s">
        <v>1102</v>
      </c>
      <c r="N31" s="25" t="s">
        <v>1007</v>
      </c>
      <c r="O31" s="25">
        <v>0</v>
      </c>
      <c r="P31" s="25" t="s">
        <v>180</v>
      </c>
    </row>
    <row r="32" spans="3:16" s="74" customFormat="1" x14ac:dyDescent="0.15">
      <c r="C32" s="25">
        <v>26</v>
      </c>
      <c r="D32" s="25" t="s">
        <v>1103</v>
      </c>
      <c r="E32" s="25" t="s">
        <v>1104</v>
      </c>
      <c r="F32" s="25" t="s">
        <v>235</v>
      </c>
      <c r="G32" s="25" t="s">
        <v>159</v>
      </c>
      <c r="H32" s="25" t="s">
        <v>40</v>
      </c>
      <c r="I32" s="25"/>
      <c r="K32" s="25">
        <v>26</v>
      </c>
      <c r="L32" s="25" t="s">
        <v>1104</v>
      </c>
      <c r="M32" s="25" t="s">
        <v>1105</v>
      </c>
      <c r="N32" s="25" t="s">
        <v>1007</v>
      </c>
      <c r="O32" s="25">
        <v>0</v>
      </c>
      <c r="P32" s="25" t="s">
        <v>180</v>
      </c>
    </row>
    <row r="33" spans="3:16" s="74" customFormat="1" x14ac:dyDescent="0.15">
      <c r="C33" s="25">
        <v>27</v>
      </c>
      <c r="D33" s="25" t="s">
        <v>1106</v>
      </c>
      <c r="E33" s="25" t="s">
        <v>1107</v>
      </c>
      <c r="F33" s="25" t="s">
        <v>235</v>
      </c>
      <c r="G33" s="25" t="s">
        <v>159</v>
      </c>
      <c r="H33" s="25" t="s">
        <v>40</v>
      </c>
      <c r="I33" s="25"/>
      <c r="K33" s="25">
        <v>27</v>
      </c>
      <c r="L33" s="25" t="s">
        <v>1107</v>
      </c>
      <c r="M33" s="25" t="s">
        <v>1108</v>
      </c>
      <c r="N33" s="25" t="s">
        <v>1007</v>
      </c>
      <c r="O33" s="25">
        <v>0</v>
      </c>
      <c r="P33" s="25" t="s">
        <v>180</v>
      </c>
    </row>
    <row r="34" spans="3:16" s="74" customFormat="1" x14ac:dyDescent="0.15">
      <c r="C34" s="25">
        <v>28</v>
      </c>
      <c r="D34" s="25" t="s">
        <v>1109</v>
      </c>
      <c r="E34" s="25" t="s">
        <v>1110</v>
      </c>
      <c r="F34" s="25" t="s">
        <v>235</v>
      </c>
      <c r="G34" s="25" t="s">
        <v>159</v>
      </c>
      <c r="H34" s="25" t="s">
        <v>40</v>
      </c>
      <c r="I34" s="25"/>
      <c r="K34" s="25">
        <v>28</v>
      </c>
      <c r="L34" s="25" t="s">
        <v>1110</v>
      </c>
      <c r="M34" s="25" t="s">
        <v>1111</v>
      </c>
      <c r="N34" s="25" t="s">
        <v>1007</v>
      </c>
      <c r="O34" s="25">
        <v>0</v>
      </c>
      <c r="P34" s="25" t="s">
        <v>180</v>
      </c>
    </row>
    <row r="35" spans="3:16" s="74" customFormat="1" x14ac:dyDescent="0.15">
      <c r="C35" s="25">
        <v>29</v>
      </c>
      <c r="D35" s="25" t="s">
        <v>1112</v>
      </c>
      <c r="E35" s="25" t="s">
        <v>1113</v>
      </c>
      <c r="F35" s="25" t="s">
        <v>235</v>
      </c>
      <c r="G35" s="25" t="s">
        <v>159</v>
      </c>
      <c r="H35" s="25" t="s">
        <v>40</v>
      </c>
      <c r="I35" s="25"/>
      <c r="K35" s="25">
        <v>29</v>
      </c>
      <c r="L35" s="25" t="s">
        <v>1113</v>
      </c>
      <c r="M35" s="25" t="s">
        <v>1114</v>
      </c>
      <c r="N35" s="25" t="s">
        <v>1007</v>
      </c>
      <c r="O35" s="25">
        <v>0</v>
      </c>
      <c r="P35" s="25" t="s">
        <v>180</v>
      </c>
    </row>
    <row r="36" spans="3:16" s="74" customFormat="1" x14ac:dyDescent="0.15">
      <c r="C36" s="25">
        <v>30</v>
      </c>
      <c r="D36" s="25" t="s">
        <v>1115</v>
      </c>
      <c r="E36" s="25" t="s">
        <v>1116</v>
      </c>
      <c r="F36" s="25" t="s">
        <v>235</v>
      </c>
      <c r="G36" s="25" t="s">
        <v>159</v>
      </c>
      <c r="H36" s="25" t="s">
        <v>40</v>
      </c>
      <c r="I36" s="25"/>
      <c r="K36" s="25">
        <v>30</v>
      </c>
      <c r="L36" s="25" t="s">
        <v>1116</v>
      </c>
      <c r="M36" s="25" t="s">
        <v>1117</v>
      </c>
      <c r="N36" s="25" t="s">
        <v>1007</v>
      </c>
      <c r="O36" s="25">
        <v>0</v>
      </c>
      <c r="P36" s="25" t="s">
        <v>180</v>
      </c>
    </row>
    <row r="37" spans="3:16" s="74" customFormat="1" x14ac:dyDescent="0.15">
      <c r="C37" s="25">
        <v>31</v>
      </c>
      <c r="D37" s="25" t="s">
        <v>1118</v>
      </c>
      <c r="E37" s="25" t="s">
        <v>1119</v>
      </c>
      <c r="F37" s="25" t="s">
        <v>235</v>
      </c>
      <c r="G37" s="25" t="s">
        <v>159</v>
      </c>
      <c r="H37" s="25" t="s">
        <v>40</v>
      </c>
      <c r="I37" s="25"/>
      <c r="K37" s="25">
        <v>31</v>
      </c>
      <c r="L37" s="25" t="s">
        <v>1119</v>
      </c>
      <c r="M37" s="25" t="s">
        <v>1120</v>
      </c>
      <c r="N37" s="25" t="s">
        <v>1007</v>
      </c>
      <c r="O37" s="25">
        <v>0</v>
      </c>
      <c r="P37" s="25" t="s">
        <v>180</v>
      </c>
    </row>
    <row r="38" spans="3:16" s="74" customFormat="1" x14ac:dyDescent="0.15">
      <c r="C38" s="25">
        <v>32</v>
      </c>
      <c r="D38" s="25" t="s">
        <v>1121</v>
      </c>
      <c r="E38" s="25" t="s">
        <v>1122</v>
      </c>
      <c r="F38" s="25" t="s">
        <v>235</v>
      </c>
      <c r="G38" s="25" t="s">
        <v>159</v>
      </c>
      <c r="H38" s="25" t="s">
        <v>40</v>
      </c>
      <c r="I38" s="25"/>
      <c r="K38" s="25">
        <v>32</v>
      </c>
      <c r="L38" s="25" t="s">
        <v>1122</v>
      </c>
      <c r="M38" s="25" t="s">
        <v>1123</v>
      </c>
      <c r="N38" s="25" t="s">
        <v>1007</v>
      </c>
      <c r="O38" s="25">
        <v>0</v>
      </c>
      <c r="P38" s="25" t="s">
        <v>180</v>
      </c>
    </row>
    <row r="39" spans="3:16" s="74" customFormat="1" x14ac:dyDescent="0.15">
      <c r="C39" s="25">
        <v>33</v>
      </c>
      <c r="D39" s="25" t="s">
        <v>1124</v>
      </c>
      <c r="E39" s="25" t="s">
        <v>1125</v>
      </c>
      <c r="F39" s="25" t="s">
        <v>235</v>
      </c>
      <c r="G39" s="25" t="s">
        <v>159</v>
      </c>
      <c r="H39" s="25" t="s">
        <v>40</v>
      </c>
      <c r="I39" s="25"/>
      <c r="K39" s="25">
        <v>33</v>
      </c>
      <c r="L39" s="25" t="s">
        <v>1125</v>
      </c>
      <c r="M39" s="25" t="s">
        <v>1126</v>
      </c>
      <c r="N39" s="25" t="s">
        <v>1007</v>
      </c>
      <c r="O39" s="25">
        <v>0</v>
      </c>
      <c r="P39" s="25" t="s">
        <v>180</v>
      </c>
    </row>
    <row r="40" spans="3:16" s="74" customFormat="1" x14ac:dyDescent="0.15">
      <c r="C40" s="25">
        <v>34</v>
      </c>
      <c r="D40" s="25" t="s">
        <v>1127</v>
      </c>
      <c r="E40" s="25" t="s">
        <v>1128</v>
      </c>
      <c r="F40" s="25" t="s">
        <v>235</v>
      </c>
      <c r="G40" s="25" t="s">
        <v>159</v>
      </c>
      <c r="H40" s="25" t="s">
        <v>40</v>
      </c>
      <c r="I40" s="25"/>
      <c r="K40" s="25">
        <v>34</v>
      </c>
      <c r="L40" s="25" t="s">
        <v>1128</v>
      </c>
      <c r="M40" s="25" t="s">
        <v>1129</v>
      </c>
      <c r="N40" s="25" t="s">
        <v>1007</v>
      </c>
      <c r="O40" s="25">
        <v>0</v>
      </c>
      <c r="P40" s="25" t="s">
        <v>180</v>
      </c>
    </row>
    <row r="41" spans="3:16" s="74" customFormat="1" x14ac:dyDescent="0.15">
      <c r="C41" s="25">
        <v>35</v>
      </c>
      <c r="D41" s="25" t="s">
        <v>1130</v>
      </c>
      <c r="E41" s="25" t="s">
        <v>1131</v>
      </c>
      <c r="F41" s="25" t="s">
        <v>235</v>
      </c>
      <c r="G41" s="25" t="s">
        <v>159</v>
      </c>
      <c r="H41" s="25" t="s">
        <v>40</v>
      </c>
      <c r="I41" s="25"/>
      <c r="K41" s="25">
        <v>35</v>
      </c>
      <c r="L41" s="25" t="s">
        <v>1131</v>
      </c>
      <c r="M41" s="25" t="s">
        <v>1132</v>
      </c>
      <c r="N41" s="25" t="s">
        <v>1007</v>
      </c>
      <c r="O41" s="25">
        <v>0</v>
      </c>
      <c r="P41" s="25" t="s">
        <v>180</v>
      </c>
    </row>
    <row r="42" spans="3:16" s="74" customFormat="1" x14ac:dyDescent="0.15">
      <c r="C42" s="25">
        <v>36</v>
      </c>
      <c r="D42" s="25" t="s">
        <v>1133</v>
      </c>
      <c r="E42" s="25" t="s">
        <v>1134</v>
      </c>
      <c r="F42" s="25" t="s">
        <v>235</v>
      </c>
      <c r="G42" s="25" t="s">
        <v>159</v>
      </c>
      <c r="H42" s="25" t="s">
        <v>40</v>
      </c>
      <c r="I42" s="25"/>
      <c r="K42" s="25">
        <v>36</v>
      </c>
      <c r="L42" s="25" t="s">
        <v>1134</v>
      </c>
      <c r="M42" s="25" t="s">
        <v>1135</v>
      </c>
      <c r="N42" s="25" t="s">
        <v>1007</v>
      </c>
      <c r="O42" s="25">
        <v>0</v>
      </c>
      <c r="P42" s="25" t="s">
        <v>180</v>
      </c>
    </row>
    <row r="43" spans="3:16" s="74" customFormat="1" x14ac:dyDescent="0.15">
      <c r="C43" s="25">
        <v>37</v>
      </c>
      <c r="D43" s="25" t="s">
        <v>1136</v>
      </c>
      <c r="E43" s="25" t="s">
        <v>1137</v>
      </c>
      <c r="F43" s="25" t="s">
        <v>235</v>
      </c>
      <c r="G43" s="25" t="s">
        <v>159</v>
      </c>
      <c r="H43" s="25" t="s">
        <v>40</v>
      </c>
      <c r="I43" s="25"/>
      <c r="K43" s="25">
        <v>37</v>
      </c>
      <c r="L43" s="25" t="s">
        <v>1137</v>
      </c>
      <c r="M43" s="25" t="s">
        <v>1138</v>
      </c>
      <c r="N43" s="25" t="s">
        <v>1007</v>
      </c>
      <c r="O43" s="25">
        <v>0</v>
      </c>
      <c r="P43" s="25" t="s">
        <v>224</v>
      </c>
    </row>
    <row r="44" spans="3:16" s="74" customFormat="1" x14ac:dyDescent="0.15">
      <c r="C44" s="25">
        <v>38</v>
      </c>
      <c r="D44" s="25" t="s">
        <v>1139</v>
      </c>
      <c r="E44" s="25" t="s">
        <v>1140</v>
      </c>
      <c r="F44" s="25" t="s">
        <v>235</v>
      </c>
      <c r="G44" s="25" t="s">
        <v>159</v>
      </c>
      <c r="H44" s="25" t="s">
        <v>40</v>
      </c>
      <c r="I44" s="25"/>
      <c r="K44" s="25">
        <v>38</v>
      </c>
      <c r="L44" s="25" t="s">
        <v>1140</v>
      </c>
      <c r="M44" s="25" t="s">
        <v>1141</v>
      </c>
      <c r="N44" s="25" t="s">
        <v>1007</v>
      </c>
      <c r="O44" s="25">
        <v>0</v>
      </c>
      <c r="P44" s="25" t="s">
        <v>180</v>
      </c>
    </row>
    <row r="45" spans="3:16" s="74" customFormat="1" x14ac:dyDescent="0.15">
      <c r="C45" s="25">
        <v>39</v>
      </c>
      <c r="D45" s="25" t="s">
        <v>1142</v>
      </c>
      <c r="E45" s="25" t="s">
        <v>1143</v>
      </c>
      <c r="F45" s="25" t="s">
        <v>235</v>
      </c>
      <c r="G45" s="25" t="s">
        <v>159</v>
      </c>
      <c r="H45" s="25" t="s">
        <v>40</v>
      </c>
      <c r="I45" s="25"/>
      <c r="K45" s="25">
        <v>39</v>
      </c>
      <c r="L45" s="25" t="s">
        <v>1143</v>
      </c>
      <c r="M45" s="25" t="s">
        <v>1144</v>
      </c>
      <c r="N45" s="25" t="s">
        <v>1007</v>
      </c>
      <c r="O45" s="25">
        <v>0</v>
      </c>
      <c r="P45" s="25" t="s">
        <v>224</v>
      </c>
    </row>
    <row r="46" spans="3:16" s="74" customFormat="1" x14ac:dyDescent="0.15">
      <c r="C46" s="25">
        <v>40</v>
      </c>
      <c r="D46" s="25" t="s">
        <v>1581</v>
      </c>
      <c r="E46" s="25" t="s">
        <v>1145</v>
      </c>
      <c r="F46" s="25" t="s">
        <v>235</v>
      </c>
      <c r="G46" s="25" t="s">
        <v>159</v>
      </c>
      <c r="H46" s="25" t="s">
        <v>40</v>
      </c>
      <c r="I46" s="25"/>
      <c r="K46" s="25">
        <v>40</v>
      </c>
      <c r="L46" s="25" t="s">
        <v>1145</v>
      </c>
      <c r="M46" s="25" t="s">
        <v>1146</v>
      </c>
      <c r="N46" s="25" t="s">
        <v>1007</v>
      </c>
      <c r="O46" s="25">
        <v>0</v>
      </c>
      <c r="P46" s="25" t="s">
        <v>180</v>
      </c>
    </row>
    <row r="47" spans="3:16" s="74" customFormat="1" x14ac:dyDescent="0.15">
      <c r="C47" s="25">
        <v>41</v>
      </c>
      <c r="D47" s="25" t="s">
        <v>1147</v>
      </c>
      <c r="E47" s="25" t="s">
        <v>1148</v>
      </c>
      <c r="F47" s="25" t="s">
        <v>235</v>
      </c>
      <c r="G47" s="25" t="s">
        <v>159</v>
      </c>
      <c r="H47" s="25" t="s">
        <v>40</v>
      </c>
      <c r="I47" s="25"/>
      <c r="K47" s="25">
        <v>41</v>
      </c>
      <c r="L47" s="25" t="s">
        <v>1148</v>
      </c>
      <c r="M47" s="25" t="s">
        <v>1149</v>
      </c>
      <c r="N47" s="25" t="s">
        <v>1007</v>
      </c>
      <c r="O47" s="25">
        <v>0</v>
      </c>
      <c r="P47" s="25" t="s">
        <v>180</v>
      </c>
    </row>
    <row r="48" spans="3:16" s="74" customFormat="1" x14ac:dyDescent="0.15">
      <c r="C48" s="25">
        <v>42</v>
      </c>
      <c r="D48" s="25" t="s">
        <v>1150</v>
      </c>
      <c r="E48" s="25" t="s">
        <v>1151</v>
      </c>
      <c r="F48" s="25" t="s">
        <v>235</v>
      </c>
      <c r="G48" s="25" t="s">
        <v>159</v>
      </c>
      <c r="H48" s="25" t="s">
        <v>40</v>
      </c>
      <c r="I48" s="25"/>
      <c r="K48" s="25">
        <v>42</v>
      </c>
      <c r="L48" s="25" t="s">
        <v>1151</v>
      </c>
      <c r="M48" s="25" t="s">
        <v>1152</v>
      </c>
      <c r="N48" s="25" t="s">
        <v>1007</v>
      </c>
      <c r="O48" s="25">
        <v>0</v>
      </c>
      <c r="P48" s="25" t="s">
        <v>180</v>
      </c>
    </row>
    <row r="49" spans="3:16" s="74" customFormat="1" x14ac:dyDescent="0.15">
      <c r="C49" s="25">
        <v>43</v>
      </c>
      <c r="D49" s="25" t="s">
        <v>1153</v>
      </c>
      <c r="E49" s="25" t="s">
        <v>1154</v>
      </c>
      <c r="F49" s="25" t="s">
        <v>235</v>
      </c>
      <c r="G49" s="25" t="s">
        <v>159</v>
      </c>
      <c r="H49" s="25" t="s">
        <v>40</v>
      </c>
      <c r="I49" s="25"/>
      <c r="K49" s="25">
        <v>43</v>
      </c>
      <c r="L49" s="25" t="s">
        <v>1154</v>
      </c>
      <c r="M49" s="25" t="s">
        <v>1155</v>
      </c>
      <c r="N49" s="25" t="s">
        <v>1007</v>
      </c>
      <c r="O49" s="25">
        <v>0</v>
      </c>
      <c r="P49" s="25" t="s">
        <v>180</v>
      </c>
    </row>
    <row r="50" spans="3:16" s="74" customFormat="1" x14ac:dyDescent="0.15">
      <c r="C50" s="25">
        <v>44</v>
      </c>
      <c r="D50" s="25" t="s">
        <v>1156</v>
      </c>
      <c r="E50" s="25" t="s">
        <v>1157</v>
      </c>
      <c r="F50" s="25" t="s">
        <v>235</v>
      </c>
      <c r="G50" s="25" t="s">
        <v>159</v>
      </c>
      <c r="H50" s="25" t="s">
        <v>40</v>
      </c>
      <c r="I50" s="25"/>
      <c r="K50" s="25">
        <v>44</v>
      </c>
      <c r="L50" s="25" t="s">
        <v>1157</v>
      </c>
      <c r="M50" s="25" t="s">
        <v>1158</v>
      </c>
      <c r="N50" s="25" t="s">
        <v>1007</v>
      </c>
      <c r="O50" s="25">
        <v>0</v>
      </c>
      <c r="P50" s="25" t="s">
        <v>180</v>
      </c>
    </row>
    <row r="51" spans="3:16" s="74" customFormat="1" x14ac:dyDescent="0.15"/>
    <row r="52" spans="3:16" s="74" customFormat="1" x14ac:dyDescent="0.15"/>
    <row r="53" spans="3:16" s="74" customFormat="1" x14ac:dyDescent="0.15"/>
    <row r="54" spans="3:16" s="74" customFormat="1" x14ac:dyDescent="0.15"/>
    <row r="55" spans="3:16" s="74" customFormat="1" x14ac:dyDescent="0.15"/>
    <row r="56" spans="3:16" s="74" customFormat="1" x14ac:dyDescent="0.15"/>
    <row r="57" spans="3:16" s="74" customFormat="1" x14ac:dyDescent="0.15"/>
    <row r="58" spans="3:16" s="74" customFormat="1" x14ac:dyDescent="0.15"/>
    <row r="59" spans="3:16" s="74" customFormat="1" x14ac:dyDescent="0.15"/>
    <row r="60" spans="3:16" s="74" customFormat="1" x14ac:dyDescent="0.15"/>
    <row r="61" spans="3:16" s="74" customFormat="1" x14ac:dyDescent="0.15"/>
    <row r="62" spans="3:16" s="74" customFormat="1" x14ac:dyDescent="0.15"/>
    <row r="63" spans="3:16" s="74" customFormat="1" x14ac:dyDescent="0.15"/>
    <row r="64" spans="3:16"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717BB7BB-A71E-42F1-8378-1B4F0A004FCA}"/>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4C051-0BE3-499C-82A4-3D6C7C63944D}">
  <sheetPr codeName="Sheet36">
    <pageSetUpPr fitToPage="1"/>
  </sheetPr>
  <dimension ref="B2:P709"/>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1159</v>
      </c>
      <c r="D2" s="2"/>
      <c r="E2" s="2"/>
    </row>
    <row r="3" spans="2:16" x14ac:dyDescent="0.15">
      <c r="B3" s="8"/>
      <c r="C3" s="8" t="s">
        <v>172</v>
      </c>
      <c r="D3" s="2"/>
      <c r="E3" s="2"/>
    </row>
    <row r="4" spans="2:16" x14ac:dyDescent="0.15">
      <c r="B4" s="8"/>
      <c r="C4" s="8"/>
      <c r="D4" s="2"/>
      <c r="E4" s="2"/>
    </row>
    <row r="5" spans="2:16" x14ac:dyDescent="0.15">
      <c r="B5" s="8"/>
      <c r="C5" s="12" t="s">
        <v>4</v>
      </c>
      <c r="D5" s="6"/>
      <c r="E5" s="2"/>
      <c r="H5" s="19"/>
      <c r="K5" s="5"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4" customFormat="1" x14ac:dyDescent="0.15">
      <c r="C7" s="25">
        <v>2</v>
      </c>
      <c r="D7" s="25" t="s">
        <v>125</v>
      </c>
      <c r="E7" s="25" t="s">
        <v>126</v>
      </c>
      <c r="F7" s="25" t="s">
        <v>39</v>
      </c>
      <c r="G7" s="25">
        <v>8</v>
      </c>
      <c r="H7" s="25" t="s">
        <v>40</v>
      </c>
      <c r="I7" s="25"/>
      <c r="K7" s="25">
        <v>1</v>
      </c>
      <c r="L7" s="25" t="s">
        <v>232</v>
      </c>
      <c r="M7" s="25" t="s">
        <v>229</v>
      </c>
      <c r="N7" s="25" t="s">
        <v>254</v>
      </c>
      <c r="O7" s="25">
        <v>1</v>
      </c>
      <c r="P7" s="25" t="s">
        <v>224</v>
      </c>
    </row>
    <row r="8" spans="2:16" s="74" customFormat="1" x14ac:dyDescent="0.15">
      <c r="C8" s="25">
        <v>5</v>
      </c>
      <c r="D8" s="25" t="s">
        <v>41</v>
      </c>
      <c r="E8" s="25" t="s">
        <v>42</v>
      </c>
      <c r="F8" s="25" t="s">
        <v>39</v>
      </c>
      <c r="G8" s="25">
        <v>8</v>
      </c>
      <c r="H8" s="25" t="s">
        <v>40</v>
      </c>
      <c r="I8" s="25"/>
      <c r="K8" s="25">
        <v>2</v>
      </c>
      <c r="L8" s="25" t="s">
        <v>42</v>
      </c>
      <c r="M8" s="25" t="s">
        <v>188</v>
      </c>
      <c r="N8" s="25" t="s">
        <v>254</v>
      </c>
      <c r="O8" s="25">
        <v>1</v>
      </c>
      <c r="P8" s="25" t="s">
        <v>224</v>
      </c>
    </row>
    <row r="9" spans="2:16" s="74" customFormat="1" x14ac:dyDescent="0.15">
      <c r="C9" s="25">
        <v>1</v>
      </c>
      <c r="D9" s="25" t="s">
        <v>33</v>
      </c>
      <c r="E9" s="25" t="s">
        <v>287</v>
      </c>
      <c r="F9" s="25" t="s">
        <v>35</v>
      </c>
      <c r="G9" s="25"/>
      <c r="H9" s="25" t="s">
        <v>764</v>
      </c>
      <c r="I9" s="25" t="s">
        <v>36</v>
      </c>
      <c r="K9" s="25">
        <v>3</v>
      </c>
      <c r="L9" s="25" t="s">
        <v>34</v>
      </c>
      <c r="M9" s="25" t="s">
        <v>187</v>
      </c>
      <c r="N9" s="25" t="s">
        <v>35</v>
      </c>
      <c r="O9" s="25">
        <v>1</v>
      </c>
      <c r="P9" s="25" t="s">
        <v>224</v>
      </c>
    </row>
    <row r="10" spans="2:16" s="74" customFormat="1" x14ac:dyDescent="0.15">
      <c r="C10" s="25">
        <v>3</v>
      </c>
      <c r="D10" s="25" t="s">
        <v>37</v>
      </c>
      <c r="E10" s="25" t="s">
        <v>38</v>
      </c>
      <c r="F10" s="25" t="s">
        <v>39</v>
      </c>
      <c r="G10" s="25">
        <v>15</v>
      </c>
      <c r="H10" s="25" t="s">
        <v>40</v>
      </c>
      <c r="I10" s="25"/>
      <c r="K10" s="25">
        <v>4</v>
      </c>
      <c r="L10" s="25" t="s">
        <v>38</v>
      </c>
      <c r="M10" s="25" t="s">
        <v>191</v>
      </c>
      <c r="N10" s="25" t="s">
        <v>254</v>
      </c>
      <c r="O10" s="25">
        <v>0</v>
      </c>
      <c r="P10" s="25" t="s">
        <v>224</v>
      </c>
    </row>
    <row r="11" spans="2:16" s="74" customFormat="1" x14ac:dyDescent="0.15">
      <c r="C11" s="25">
        <v>6</v>
      </c>
      <c r="D11" s="25" t="s">
        <v>1055</v>
      </c>
      <c r="E11" s="25" t="s">
        <v>978</v>
      </c>
      <c r="F11" s="25" t="s">
        <v>1056</v>
      </c>
      <c r="G11" s="25">
        <v>12</v>
      </c>
      <c r="H11" s="25" t="s">
        <v>40</v>
      </c>
      <c r="I11" s="25"/>
      <c r="K11" s="25">
        <v>5</v>
      </c>
      <c r="L11" s="25" t="s">
        <v>978</v>
      </c>
      <c r="M11" s="25" t="s">
        <v>1057</v>
      </c>
      <c r="N11" s="25" t="s">
        <v>254</v>
      </c>
      <c r="O11" s="25">
        <v>1</v>
      </c>
      <c r="P11" s="25" t="s">
        <v>224</v>
      </c>
    </row>
    <row r="12" spans="2:16" s="74" customFormat="1" x14ac:dyDescent="0.15">
      <c r="C12" s="25">
        <v>4</v>
      </c>
      <c r="D12" s="25" t="s">
        <v>127</v>
      </c>
      <c r="E12" s="25" t="s">
        <v>128</v>
      </c>
      <c r="F12" s="25" t="s">
        <v>39</v>
      </c>
      <c r="G12" s="25">
        <v>20</v>
      </c>
      <c r="H12" s="25"/>
      <c r="I12" s="25"/>
      <c r="K12" s="25">
        <v>6</v>
      </c>
      <c r="L12" s="25" t="s">
        <v>204</v>
      </c>
      <c r="M12" s="25" t="s">
        <v>205</v>
      </c>
      <c r="N12" s="25" t="s">
        <v>254</v>
      </c>
      <c r="O12" s="25">
        <v>0</v>
      </c>
      <c r="P12" s="25" t="s">
        <v>224</v>
      </c>
    </row>
    <row r="13" spans="2:16" s="74" customFormat="1" x14ac:dyDescent="0.15">
      <c r="C13" s="25">
        <v>7</v>
      </c>
      <c r="D13" s="25" t="s">
        <v>48</v>
      </c>
      <c r="E13" s="25" t="s">
        <v>49</v>
      </c>
      <c r="F13" s="25" t="s">
        <v>35</v>
      </c>
      <c r="G13" s="25"/>
      <c r="H13" s="25"/>
      <c r="I13" s="25"/>
      <c r="K13" s="25">
        <v>7</v>
      </c>
      <c r="L13" s="25" t="s">
        <v>198</v>
      </c>
      <c r="M13" s="25" t="s">
        <v>199</v>
      </c>
      <c r="N13" s="25" t="s">
        <v>35</v>
      </c>
      <c r="O13" s="25">
        <v>0</v>
      </c>
      <c r="P13" s="25"/>
    </row>
    <row r="14" spans="2:16" s="74" customFormat="1" x14ac:dyDescent="0.15">
      <c r="C14" s="25">
        <v>8</v>
      </c>
      <c r="D14" s="25" t="s">
        <v>43</v>
      </c>
      <c r="E14" s="25" t="s">
        <v>44</v>
      </c>
      <c r="F14" s="25" t="s">
        <v>39</v>
      </c>
      <c r="G14" s="25">
        <v>22</v>
      </c>
      <c r="H14" s="25"/>
      <c r="I14" s="25"/>
      <c r="K14" s="25">
        <v>8</v>
      </c>
      <c r="L14" s="25" t="s">
        <v>192</v>
      </c>
      <c r="M14" s="25" t="s">
        <v>193</v>
      </c>
      <c r="N14" s="25" t="s">
        <v>254</v>
      </c>
      <c r="O14" s="25">
        <v>0</v>
      </c>
      <c r="P14" s="25" t="s">
        <v>224</v>
      </c>
    </row>
    <row r="15" spans="2:16" s="74" customFormat="1" x14ac:dyDescent="0.15">
      <c r="C15" s="25">
        <v>9</v>
      </c>
      <c r="D15" s="25" t="s">
        <v>45</v>
      </c>
      <c r="E15" s="25" t="s">
        <v>46</v>
      </c>
      <c r="F15" s="25" t="s">
        <v>39</v>
      </c>
      <c r="G15" s="25">
        <v>40</v>
      </c>
      <c r="H15" s="25"/>
      <c r="I15" s="25"/>
      <c r="K15" s="25">
        <v>9</v>
      </c>
      <c r="L15" s="25" t="s">
        <v>194</v>
      </c>
      <c r="M15" s="25" t="s">
        <v>195</v>
      </c>
      <c r="N15" s="25" t="s">
        <v>254</v>
      </c>
      <c r="O15" s="25">
        <v>0</v>
      </c>
      <c r="P15" s="25" t="s">
        <v>224</v>
      </c>
    </row>
    <row r="16" spans="2:16" s="74" customFormat="1" x14ac:dyDescent="0.15">
      <c r="C16" s="25">
        <v>10</v>
      </c>
      <c r="D16" s="25" t="s">
        <v>50</v>
      </c>
      <c r="E16" s="25" t="s">
        <v>51</v>
      </c>
      <c r="F16" s="25" t="s">
        <v>186</v>
      </c>
      <c r="G16" s="25"/>
      <c r="H16" s="25" t="s">
        <v>40</v>
      </c>
      <c r="I16" s="25" t="s">
        <v>52</v>
      </c>
      <c r="K16" s="25">
        <v>10</v>
      </c>
      <c r="L16" s="25" t="s">
        <v>51</v>
      </c>
      <c r="M16" s="25" t="s">
        <v>200</v>
      </c>
      <c r="N16" s="25" t="s">
        <v>35</v>
      </c>
      <c r="O16" s="25">
        <v>0</v>
      </c>
      <c r="P16" s="25"/>
    </row>
    <row r="17" spans="3:16" s="74" customFormat="1" x14ac:dyDescent="0.15">
      <c r="C17" s="25">
        <v>11</v>
      </c>
      <c r="D17" s="25" t="s">
        <v>1003</v>
      </c>
      <c r="E17" s="25" t="s">
        <v>1004</v>
      </c>
      <c r="F17" s="25" t="s">
        <v>235</v>
      </c>
      <c r="G17" s="25" t="s">
        <v>1005</v>
      </c>
      <c r="H17" s="25" t="s">
        <v>764</v>
      </c>
      <c r="I17" s="25"/>
      <c r="K17" s="25">
        <v>11</v>
      </c>
      <c r="L17" s="25" t="s">
        <v>1004</v>
      </c>
      <c r="M17" s="25" t="s">
        <v>1006</v>
      </c>
      <c r="N17" s="25" t="s">
        <v>1007</v>
      </c>
      <c r="O17" s="25">
        <v>0</v>
      </c>
      <c r="P17" s="25" t="s">
        <v>180</v>
      </c>
    </row>
    <row r="18" spans="3:16" s="74" customFormat="1" x14ac:dyDescent="0.15">
      <c r="C18" s="25">
        <v>12</v>
      </c>
      <c r="D18" s="25" t="s">
        <v>1008</v>
      </c>
      <c r="E18" s="25" t="s">
        <v>1009</v>
      </c>
      <c r="F18" s="25" t="s">
        <v>235</v>
      </c>
      <c r="G18" s="25" t="s">
        <v>1005</v>
      </c>
      <c r="H18" s="25" t="s">
        <v>764</v>
      </c>
      <c r="I18" s="25"/>
      <c r="K18" s="25">
        <v>12</v>
      </c>
      <c r="L18" s="25" t="s">
        <v>1009</v>
      </c>
      <c r="M18" s="25" t="s">
        <v>1010</v>
      </c>
      <c r="N18" s="25" t="s">
        <v>1007</v>
      </c>
      <c r="O18" s="25">
        <v>0</v>
      </c>
      <c r="P18" s="25" t="s">
        <v>180</v>
      </c>
    </row>
    <row r="19" spans="3:16" s="74" customFormat="1" x14ac:dyDescent="0.15">
      <c r="C19" s="25">
        <v>13</v>
      </c>
      <c r="D19" s="25" t="s">
        <v>1011</v>
      </c>
      <c r="E19" s="25" t="s">
        <v>1012</v>
      </c>
      <c r="F19" s="25" t="s">
        <v>235</v>
      </c>
      <c r="G19" s="25" t="s">
        <v>159</v>
      </c>
      <c r="H19" s="25" t="s">
        <v>40</v>
      </c>
      <c r="I19" s="25"/>
      <c r="K19" s="25">
        <v>13</v>
      </c>
      <c r="L19" s="25" t="s">
        <v>1012</v>
      </c>
      <c r="M19" s="25" t="s">
        <v>1013</v>
      </c>
      <c r="N19" s="25" t="s">
        <v>1007</v>
      </c>
      <c r="O19" s="25">
        <v>0</v>
      </c>
      <c r="P19" s="25" t="s">
        <v>180</v>
      </c>
    </row>
    <row r="20" spans="3:16" s="74" customFormat="1" x14ac:dyDescent="0.15">
      <c r="C20" s="25">
        <v>14</v>
      </c>
      <c r="D20" s="25" t="s">
        <v>1014</v>
      </c>
      <c r="E20" s="25" t="s">
        <v>1015</v>
      </c>
      <c r="F20" s="25" t="s">
        <v>235</v>
      </c>
      <c r="G20" s="25" t="s">
        <v>159</v>
      </c>
      <c r="H20" s="25" t="s">
        <v>40</v>
      </c>
      <c r="I20" s="25"/>
      <c r="K20" s="25">
        <v>14</v>
      </c>
      <c r="L20" s="25" t="s">
        <v>1015</v>
      </c>
      <c r="M20" s="25" t="s">
        <v>1016</v>
      </c>
      <c r="N20" s="25" t="s">
        <v>1007</v>
      </c>
      <c r="O20" s="25">
        <v>0</v>
      </c>
      <c r="P20" s="25" t="s">
        <v>180</v>
      </c>
    </row>
    <row r="21" spans="3:16" s="74" customFormat="1" x14ac:dyDescent="0.15">
      <c r="C21" s="25">
        <v>15</v>
      </c>
      <c r="D21" s="25" t="s">
        <v>1017</v>
      </c>
      <c r="E21" s="25" t="s">
        <v>1018</v>
      </c>
      <c r="F21" s="25" t="s">
        <v>235</v>
      </c>
      <c r="G21" s="25" t="s">
        <v>159</v>
      </c>
      <c r="H21" s="25" t="s">
        <v>40</v>
      </c>
      <c r="I21" s="25"/>
      <c r="K21" s="25">
        <v>15</v>
      </c>
      <c r="L21" s="25" t="s">
        <v>1018</v>
      </c>
      <c r="M21" s="25" t="s">
        <v>1019</v>
      </c>
      <c r="N21" s="25" t="s">
        <v>1007</v>
      </c>
      <c r="O21" s="25">
        <v>0</v>
      </c>
      <c r="P21" s="25" t="s">
        <v>180</v>
      </c>
    </row>
    <row r="22" spans="3:16" s="74" customFormat="1" x14ac:dyDescent="0.15">
      <c r="C22" s="25">
        <v>16</v>
      </c>
      <c r="D22" s="25" t="s">
        <v>1020</v>
      </c>
      <c r="E22" s="25" t="s">
        <v>1021</v>
      </c>
      <c r="F22" s="25" t="s">
        <v>235</v>
      </c>
      <c r="G22" s="25" t="s">
        <v>159</v>
      </c>
      <c r="H22" s="25" t="s">
        <v>40</v>
      </c>
      <c r="I22" s="25"/>
      <c r="K22" s="25">
        <v>16</v>
      </c>
      <c r="L22" s="25" t="s">
        <v>1021</v>
      </c>
      <c r="M22" s="25" t="s">
        <v>1022</v>
      </c>
      <c r="N22" s="25" t="s">
        <v>1007</v>
      </c>
      <c r="O22" s="25">
        <v>0</v>
      </c>
      <c r="P22" s="25" t="s">
        <v>180</v>
      </c>
    </row>
    <row r="23" spans="3:16" s="74" customFormat="1" x14ac:dyDescent="0.15">
      <c r="C23" s="25">
        <v>17</v>
      </c>
      <c r="D23" s="25" t="s">
        <v>1023</v>
      </c>
      <c r="E23" s="25" t="s">
        <v>1024</v>
      </c>
      <c r="F23" s="25" t="s">
        <v>235</v>
      </c>
      <c r="G23" s="25" t="s">
        <v>159</v>
      </c>
      <c r="H23" s="25" t="s">
        <v>40</v>
      </c>
      <c r="I23" s="25"/>
      <c r="K23" s="25">
        <v>17</v>
      </c>
      <c r="L23" s="25" t="s">
        <v>1025</v>
      </c>
      <c r="M23" s="25" t="s">
        <v>1026</v>
      </c>
      <c r="N23" s="25" t="s">
        <v>1007</v>
      </c>
      <c r="O23" s="25">
        <v>0</v>
      </c>
      <c r="P23" s="25" t="s">
        <v>180</v>
      </c>
    </row>
    <row r="24" spans="3:16" s="74" customFormat="1" x14ac:dyDescent="0.15">
      <c r="C24" s="25">
        <v>18</v>
      </c>
      <c r="D24" s="25" t="s">
        <v>1027</v>
      </c>
      <c r="E24" s="25" t="s">
        <v>1028</v>
      </c>
      <c r="F24" s="25" t="s">
        <v>235</v>
      </c>
      <c r="G24" s="25" t="s">
        <v>159</v>
      </c>
      <c r="H24" s="25" t="s">
        <v>40</v>
      </c>
      <c r="I24" s="25"/>
      <c r="K24" s="25">
        <v>18</v>
      </c>
      <c r="L24" s="25" t="s">
        <v>1028</v>
      </c>
      <c r="M24" s="25" t="s">
        <v>1029</v>
      </c>
      <c r="N24" s="25" t="s">
        <v>1007</v>
      </c>
      <c r="O24" s="25">
        <v>0</v>
      </c>
      <c r="P24" s="25" t="s">
        <v>180</v>
      </c>
    </row>
    <row r="25" spans="3:16" s="74" customFormat="1" x14ac:dyDescent="0.15">
      <c r="C25" s="25">
        <v>19</v>
      </c>
      <c r="D25" s="25" t="s">
        <v>1030</v>
      </c>
      <c r="E25" s="25" t="s">
        <v>1031</v>
      </c>
      <c r="F25" s="25" t="s">
        <v>235</v>
      </c>
      <c r="G25" s="25" t="s">
        <v>159</v>
      </c>
      <c r="H25" s="25" t="s">
        <v>40</v>
      </c>
      <c r="I25" s="25"/>
      <c r="K25" s="25">
        <v>19</v>
      </c>
      <c r="L25" s="25" t="s">
        <v>1031</v>
      </c>
      <c r="M25" s="25" t="s">
        <v>1032</v>
      </c>
      <c r="N25" s="25" t="s">
        <v>1007</v>
      </c>
      <c r="O25" s="25">
        <v>0</v>
      </c>
      <c r="P25" s="25" t="s">
        <v>180</v>
      </c>
    </row>
    <row r="26" spans="3:16" s="74" customFormat="1" x14ac:dyDescent="0.15">
      <c r="C26" s="25">
        <v>20</v>
      </c>
      <c r="D26" s="25" t="s">
        <v>1033</v>
      </c>
      <c r="E26" s="25" t="s">
        <v>1034</v>
      </c>
      <c r="F26" s="25" t="s">
        <v>235</v>
      </c>
      <c r="G26" s="25" t="s">
        <v>159</v>
      </c>
      <c r="H26" s="25" t="s">
        <v>40</v>
      </c>
      <c r="I26" s="25"/>
      <c r="K26" s="25">
        <v>20</v>
      </c>
      <c r="L26" s="25" t="s">
        <v>1034</v>
      </c>
      <c r="M26" s="25" t="s">
        <v>1035</v>
      </c>
      <c r="N26" s="25" t="s">
        <v>1007</v>
      </c>
      <c r="O26" s="25">
        <v>0</v>
      </c>
      <c r="P26" s="25" t="s">
        <v>180</v>
      </c>
    </row>
    <row r="27" spans="3:16" s="74" customFormat="1" x14ac:dyDescent="0.15">
      <c r="C27" s="25">
        <v>21</v>
      </c>
      <c r="D27" s="25" t="s">
        <v>1036</v>
      </c>
      <c r="E27" s="25" t="s">
        <v>1037</v>
      </c>
      <c r="F27" s="25" t="s">
        <v>235</v>
      </c>
      <c r="G27" s="25" t="s">
        <v>159</v>
      </c>
      <c r="H27" s="25" t="s">
        <v>40</v>
      </c>
      <c r="I27" s="25"/>
      <c r="K27" s="25">
        <v>21</v>
      </c>
      <c r="L27" s="25" t="s">
        <v>1037</v>
      </c>
      <c r="M27" s="25" t="s">
        <v>1038</v>
      </c>
      <c r="N27" s="25" t="s">
        <v>1007</v>
      </c>
      <c r="O27" s="25">
        <v>0</v>
      </c>
      <c r="P27" s="25" t="s">
        <v>180</v>
      </c>
    </row>
    <row r="28" spans="3:16" s="74" customFormat="1" x14ac:dyDescent="0.15">
      <c r="C28" s="25">
        <v>22</v>
      </c>
      <c r="D28" s="25" t="s">
        <v>1039</v>
      </c>
      <c r="E28" s="25" t="s">
        <v>1040</v>
      </c>
      <c r="F28" s="25" t="s">
        <v>235</v>
      </c>
      <c r="G28" s="25" t="s">
        <v>159</v>
      </c>
      <c r="H28" s="25" t="s">
        <v>40</v>
      </c>
      <c r="I28" s="25"/>
      <c r="K28" s="25">
        <v>22</v>
      </c>
      <c r="L28" s="25" t="s">
        <v>1040</v>
      </c>
      <c r="M28" s="25" t="s">
        <v>1041</v>
      </c>
      <c r="N28" s="25" t="s">
        <v>1007</v>
      </c>
      <c r="O28" s="25">
        <v>0</v>
      </c>
      <c r="P28" s="25" t="s">
        <v>180</v>
      </c>
    </row>
    <row r="29" spans="3:16" s="74" customFormat="1" x14ac:dyDescent="0.15">
      <c r="C29" s="25">
        <v>23</v>
      </c>
      <c r="D29" s="25" t="s">
        <v>1042</v>
      </c>
      <c r="E29" s="25" t="s">
        <v>1043</v>
      </c>
      <c r="F29" s="25" t="s">
        <v>235</v>
      </c>
      <c r="G29" s="25" t="s">
        <v>159</v>
      </c>
      <c r="H29" s="25" t="s">
        <v>40</v>
      </c>
      <c r="I29" s="25"/>
      <c r="K29" s="25">
        <v>23</v>
      </c>
      <c r="L29" s="25" t="s">
        <v>1043</v>
      </c>
      <c r="M29" s="25" t="s">
        <v>1044</v>
      </c>
      <c r="N29" s="25" t="s">
        <v>1007</v>
      </c>
      <c r="O29" s="25">
        <v>0</v>
      </c>
      <c r="P29" s="25" t="s">
        <v>224</v>
      </c>
    </row>
    <row r="30" spans="3:16" s="74" customFormat="1" x14ac:dyDescent="0.15">
      <c r="C30" s="25">
        <v>24</v>
      </c>
      <c r="D30" s="25" t="s">
        <v>1045</v>
      </c>
      <c r="E30" s="25" t="s">
        <v>1046</v>
      </c>
      <c r="F30" s="25" t="s">
        <v>235</v>
      </c>
      <c r="G30" s="25" t="s">
        <v>159</v>
      </c>
      <c r="H30" s="25" t="s">
        <v>40</v>
      </c>
      <c r="I30" s="25"/>
      <c r="K30" s="25">
        <v>24</v>
      </c>
      <c r="L30" s="25" t="s">
        <v>1046</v>
      </c>
      <c r="M30" s="25" t="s">
        <v>1047</v>
      </c>
      <c r="N30" s="25" t="s">
        <v>1007</v>
      </c>
      <c r="O30" s="25">
        <v>0</v>
      </c>
      <c r="P30" s="25" t="s">
        <v>224</v>
      </c>
    </row>
    <row r="31" spans="3:16" s="74" customFormat="1" x14ac:dyDescent="0.15">
      <c r="C31" s="25">
        <v>25</v>
      </c>
      <c r="D31" s="25" t="s">
        <v>1048</v>
      </c>
      <c r="E31" s="25" t="s">
        <v>1049</v>
      </c>
      <c r="F31" s="25" t="s">
        <v>235</v>
      </c>
      <c r="G31" s="25" t="s">
        <v>159</v>
      </c>
      <c r="H31" s="25" t="s">
        <v>40</v>
      </c>
      <c r="I31" s="25"/>
      <c r="K31" s="25">
        <v>25</v>
      </c>
      <c r="L31" s="25" t="s">
        <v>1049</v>
      </c>
      <c r="M31" s="25" t="s">
        <v>1050</v>
      </c>
      <c r="N31" s="25" t="s">
        <v>1007</v>
      </c>
      <c r="O31" s="25">
        <v>0</v>
      </c>
      <c r="P31" s="25" t="s">
        <v>180</v>
      </c>
    </row>
    <row r="32" spans="3:16" s="74" customFormat="1" x14ac:dyDescent="0.15">
      <c r="C32" s="25">
        <v>26</v>
      </c>
      <c r="D32" s="25" t="s">
        <v>1051</v>
      </c>
      <c r="E32" s="25" t="s">
        <v>1052</v>
      </c>
      <c r="F32" s="25" t="s">
        <v>235</v>
      </c>
      <c r="G32" s="25" t="s">
        <v>159</v>
      </c>
      <c r="H32" s="25" t="s">
        <v>40</v>
      </c>
      <c r="I32" s="25"/>
      <c r="K32" s="25">
        <v>26</v>
      </c>
      <c r="L32" s="25" t="s">
        <v>1053</v>
      </c>
      <c r="M32" s="25" t="s">
        <v>1054</v>
      </c>
      <c r="N32" s="25" t="s">
        <v>1007</v>
      </c>
      <c r="O32" s="25">
        <v>0</v>
      </c>
      <c r="P32" s="25" t="s">
        <v>180</v>
      </c>
    </row>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7BB8578F-7F68-4040-A730-51A196209048}"/>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B3DDC-0180-4167-A9DD-F0FCB6F149F3}">
  <sheetPr codeName="Sheet32">
    <pageSetUpPr fitToPage="1"/>
  </sheetPr>
  <dimension ref="B2:P709"/>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4" bestFit="1" customWidth="1"/>
    <col min="6" max="6" width="8.25" bestFit="1" customWidth="1"/>
    <col min="7" max="7" width="5.375" bestFit="1" customWidth="1"/>
    <col min="8" max="8" width="6" bestFit="1" customWidth="1"/>
    <col min="9" max="9" width="35.75" hidden="1" customWidth="1"/>
    <col min="10" max="10" width="2.25" customWidth="1"/>
    <col min="11" max="11" width="3.875" bestFit="1" customWidth="1"/>
    <col min="12" max="12" width="15.125" bestFit="1" customWidth="1"/>
    <col min="13" max="13" width="17.125" bestFit="1" customWidth="1"/>
    <col min="14" max="14" width="7.375" bestFit="1" customWidth="1"/>
    <col min="15" max="15" width="9.25" bestFit="1" customWidth="1"/>
    <col min="16" max="16" width="11.75" bestFit="1" customWidth="1"/>
  </cols>
  <sheetData>
    <row r="2" spans="2:16" x14ac:dyDescent="0.15">
      <c r="B2" s="5" t="s">
        <v>1000</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4" customFormat="1" x14ac:dyDescent="0.15">
      <c r="C7" s="25">
        <v>2</v>
      </c>
      <c r="D7" s="25" t="s">
        <v>125</v>
      </c>
      <c r="E7" s="25" t="s">
        <v>126</v>
      </c>
      <c r="F7" s="25" t="s">
        <v>39</v>
      </c>
      <c r="G7" s="25">
        <v>8</v>
      </c>
      <c r="H7" s="25" t="s">
        <v>40</v>
      </c>
      <c r="I7" s="25"/>
      <c r="K7" s="25">
        <v>1</v>
      </c>
      <c r="L7" s="25" t="s">
        <v>1160</v>
      </c>
      <c r="M7" s="25" t="s">
        <v>947</v>
      </c>
      <c r="N7" s="25" t="s">
        <v>254</v>
      </c>
      <c r="O7" s="25">
        <v>1</v>
      </c>
      <c r="P7" s="25" t="s">
        <v>224</v>
      </c>
    </row>
    <row r="8" spans="2:16" s="74" customFormat="1" x14ac:dyDescent="0.15">
      <c r="C8" s="25">
        <v>3</v>
      </c>
      <c r="D8" s="25" t="s">
        <v>127</v>
      </c>
      <c r="E8" s="25" t="s">
        <v>128</v>
      </c>
      <c r="F8" s="25" t="s">
        <v>39</v>
      </c>
      <c r="G8" s="25">
        <v>20</v>
      </c>
      <c r="H8" s="25"/>
      <c r="I8" s="25"/>
      <c r="K8" s="25">
        <v>2</v>
      </c>
      <c r="L8" s="25" t="s">
        <v>1161</v>
      </c>
      <c r="M8" s="25" t="s">
        <v>951</v>
      </c>
      <c r="N8" s="25" t="s">
        <v>254</v>
      </c>
      <c r="O8" s="25">
        <v>0</v>
      </c>
      <c r="P8" s="25" t="s">
        <v>224</v>
      </c>
    </row>
    <row r="9" spans="2:16" s="74" customFormat="1" x14ac:dyDescent="0.15">
      <c r="C9" s="25">
        <v>1</v>
      </c>
      <c r="D9" s="25" t="s">
        <v>33</v>
      </c>
      <c r="E9" s="25" t="s">
        <v>34</v>
      </c>
      <c r="F9" s="25" t="s">
        <v>35</v>
      </c>
      <c r="G9" s="25"/>
      <c r="H9" s="25"/>
      <c r="I9" s="25" t="s">
        <v>36</v>
      </c>
      <c r="K9" s="25">
        <v>3</v>
      </c>
      <c r="L9" s="25" t="s">
        <v>287</v>
      </c>
      <c r="M9" s="25" t="s">
        <v>288</v>
      </c>
      <c r="N9" s="25" t="s">
        <v>186</v>
      </c>
      <c r="O9" s="25">
        <v>0</v>
      </c>
      <c r="P9" s="25"/>
    </row>
    <row r="10" spans="2:16" s="74" customFormat="1" x14ac:dyDescent="0.15">
      <c r="C10" s="25">
        <v>4</v>
      </c>
      <c r="D10" s="25" t="s">
        <v>129</v>
      </c>
      <c r="E10" s="25" t="s">
        <v>130</v>
      </c>
      <c r="F10" s="25" t="s">
        <v>35</v>
      </c>
      <c r="G10" s="25"/>
      <c r="H10" s="25" t="s">
        <v>40</v>
      </c>
      <c r="I10" s="25" t="s">
        <v>131</v>
      </c>
      <c r="K10" s="25">
        <v>4</v>
      </c>
      <c r="L10" s="25" t="s">
        <v>130</v>
      </c>
      <c r="M10" s="25" t="s">
        <v>219</v>
      </c>
      <c r="N10" s="25" t="s">
        <v>35</v>
      </c>
      <c r="O10" s="25">
        <v>0</v>
      </c>
      <c r="P10" s="25" t="s">
        <v>224</v>
      </c>
    </row>
    <row r="11" spans="2:16" s="74" customFormat="1" x14ac:dyDescent="0.15"/>
    <row r="12" spans="2:16" s="74" customFormat="1" x14ac:dyDescent="0.15"/>
    <row r="13" spans="2:16" s="74" customFormat="1" x14ac:dyDescent="0.15"/>
    <row r="14" spans="2:16" s="74" customFormat="1" x14ac:dyDescent="0.15"/>
    <row r="15" spans="2:16" s="74" customFormat="1" x14ac:dyDescent="0.15"/>
    <row r="16" spans="2:16" s="74" customFormat="1" x14ac:dyDescent="0.15"/>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80D71D6F-635B-4C60-A27C-9F8AA4BF3513}"/>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D2B4D6-9B91-4362-90B3-32E9D8DB645D}">
  <sheetPr codeName="Sheet34">
    <pageSetUpPr fitToPage="1"/>
  </sheetPr>
  <dimension ref="B2:P709"/>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4" bestFit="1" customWidth="1"/>
    <col min="6" max="6" width="8.25" bestFit="1" customWidth="1"/>
    <col min="7" max="7" width="5.375" bestFit="1" customWidth="1"/>
    <col min="8" max="8" width="6" bestFit="1" customWidth="1"/>
    <col min="9" max="9" width="35.75" hidden="1" customWidth="1"/>
    <col min="10" max="10" width="2.25" customWidth="1"/>
    <col min="11" max="11" width="3.875" bestFit="1" customWidth="1"/>
    <col min="12" max="12" width="15.125" bestFit="1" customWidth="1"/>
    <col min="13" max="13" width="17.125" bestFit="1" customWidth="1"/>
    <col min="14" max="14" width="7.375" bestFit="1" customWidth="1"/>
    <col min="15" max="15" width="9.25" bestFit="1" customWidth="1"/>
    <col min="16" max="16" width="11.75" bestFit="1" customWidth="1"/>
  </cols>
  <sheetData>
    <row r="2" spans="2:16" x14ac:dyDescent="0.15">
      <c r="B2" s="5" t="s">
        <v>1163</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4" customFormat="1" x14ac:dyDescent="0.15">
      <c r="C7" s="25">
        <v>1</v>
      </c>
      <c r="D7" s="25" t="s">
        <v>871</v>
      </c>
      <c r="E7" s="25" t="s">
        <v>875</v>
      </c>
      <c r="F7" s="25" t="s">
        <v>35</v>
      </c>
      <c r="G7" s="25"/>
      <c r="H7" s="25" t="s">
        <v>764</v>
      </c>
      <c r="I7" s="25"/>
      <c r="K7" s="25">
        <v>1</v>
      </c>
      <c r="L7" s="25" t="s">
        <v>875</v>
      </c>
      <c r="M7" s="25" t="s">
        <v>871</v>
      </c>
      <c r="N7" s="25" t="s">
        <v>35</v>
      </c>
      <c r="O7" s="25">
        <v>1</v>
      </c>
      <c r="P7" s="25" t="s">
        <v>224</v>
      </c>
    </row>
    <row r="8" spans="2:16" s="74" customFormat="1" x14ac:dyDescent="0.15">
      <c r="C8" s="25">
        <v>2</v>
      </c>
      <c r="D8" s="25" t="s">
        <v>1190</v>
      </c>
      <c r="E8" s="25" t="s">
        <v>1191</v>
      </c>
      <c r="F8" s="25" t="s">
        <v>35</v>
      </c>
      <c r="G8" s="25"/>
      <c r="H8" s="25" t="s">
        <v>764</v>
      </c>
      <c r="I8" s="25"/>
      <c r="K8" s="25">
        <v>2</v>
      </c>
      <c r="L8" s="25" t="s">
        <v>1191</v>
      </c>
      <c r="M8" s="25" t="s">
        <v>1190</v>
      </c>
      <c r="N8" s="25" t="s">
        <v>35</v>
      </c>
      <c r="O8" s="25">
        <v>1</v>
      </c>
      <c r="P8" s="25" t="s">
        <v>224</v>
      </c>
    </row>
    <row r="9" spans="2:16" s="74" customFormat="1" x14ac:dyDescent="0.15">
      <c r="C9" s="25">
        <v>3</v>
      </c>
      <c r="D9" s="25" t="s">
        <v>1188</v>
      </c>
      <c r="E9" s="25" t="s">
        <v>1189</v>
      </c>
      <c r="F9" s="25" t="s">
        <v>873</v>
      </c>
      <c r="G9" s="25"/>
      <c r="H9" s="25" t="s">
        <v>764</v>
      </c>
      <c r="I9" s="25"/>
      <c r="K9" s="25">
        <v>3</v>
      </c>
      <c r="L9" s="25" t="s">
        <v>1189</v>
      </c>
      <c r="M9" s="25" t="s">
        <v>1188</v>
      </c>
      <c r="N9" s="25" t="s">
        <v>873</v>
      </c>
      <c r="O9" s="25">
        <v>1</v>
      </c>
      <c r="P9" s="25" t="s">
        <v>224</v>
      </c>
    </row>
    <row r="10" spans="2:16" s="74" customFormat="1" x14ac:dyDescent="0.15">
      <c r="C10" s="25">
        <v>4</v>
      </c>
      <c r="D10" s="25" t="s">
        <v>1186</v>
      </c>
      <c r="E10" s="25" t="s">
        <v>1187</v>
      </c>
      <c r="F10" s="25" t="s">
        <v>873</v>
      </c>
      <c r="G10" s="25"/>
      <c r="H10" s="25" t="s">
        <v>764</v>
      </c>
      <c r="I10" s="25"/>
      <c r="K10" s="25">
        <v>4</v>
      </c>
      <c r="L10" s="25" t="s">
        <v>1187</v>
      </c>
      <c r="M10" s="25" t="s">
        <v>1186</v>
      </c>
      <c r="N10" s="25" t="s">
        <v>873</v>
      </c>
      <c r="O10" s="25">
        <v>1</v>
      </c>
      <c r="P10" s="25" t="s">
        <v>224</v>
      </c>
    </row>
    <row r="11" spans="2:16" s="74" customFormat="1" x14ac:dyDescent="0.15">
      <c r="C11" s="25">
        <v>5</v>
      </c>
      <c r="D11" s="25" t="s">
        <v>1184</v>
      </c>
      <c r="E11" s="25" t="s">
        <v>1185</v>
      </c>
      <c r="F11" s="25" t="s">
        <v>541</v>
      </c>
      <c r="G11" s="25"/>
      <c r="H11" s="25" t="s">
        <v>764</v>
      </c>
      <c r="I11" s="25"/>
      <c r="K11" s="25">
        <v>5</v>
      </c>
      <c r="L11" s="25" t="s">
        <v>1185</v>
      </c>
      <c r="M11" s="25" t="s">
        <v>1184</v>
      </c>
      <c r="N11" s="25" t="s">
        <v>541</v>
      </c>
      <c r="O11" s="25">
        <v>0</v>
      </c>
      <c r="P11" s="25" t="s">
        <v>224</v>
      </c>
    </row>
    <row r="12" spans="2:16" s="74" customFormat="1" x14ac:dyDescent="0.15">
      <c r="C12" s="25">
        <v>6</v>
      </c>
      <c r="D12" s="25" t="s">
        <v>1182</v>
      </c>
      <c r="E12" s="25" t="s">
        <v>1183</v>
      </c>
      <c r="F12" s="25" t="s">
        <v>873</v>
      </c>
      <c r="G12" s="25"/>
      <c r="H12" s="25"/>
      <c r="I12" s="25"/>
      <c r="K12" s="25">
        <v>6</v>
      </c>
      <c r="L12" s="25" t="s">
        <v>1183</v>
      </c>
      <c r="M12" s="25" t="s">
        <v>1182</v>
      </c>
      <c r="N12" s="25" t="s">
        <v>252</v>
      </c>
      <c r="O12" s="25">
        <v>0</v>
      </c>
      <c r="P12" s="25" t="s">
        <v>224</v>
      </c>
    </row>
    <row r="13" spans="2:16" s="74" customFormat="1" x14ac:dyDescent="0.15">
      <c r="C13" s="25">
        <v>7</v>
      </c>
      <c r="D13" s="25" t="s">
        <v>1180</v>
      </c>
      <c r="E13" s="25" t="s">
        <v>1181</v>
      </c>
      <c r="F13" s="25" t="s">
        <v>253</v>
      </c>
      <c r="G13" s="25"/>
      <c r="H13" s="25" t="s">
        <v>764</v>
      </c>
      <c r="I13" s="25"/>
      <c r="K13" s="25">
        <v>7</v>
      </c>
      <c r="L13" s="25" t="s">
        <v>1181</v>
      </c>
      <c r="M13" s="25" t="s">
        <v>1180</v>
      </c>
      <c r="N13" s="25" t="s">
        <v>253</v>
      </c>
      <c r="O13" s="25">
        <v>0</v>
      </c>
      <c r="P13" s="25" t="s">
        <v>224</v>
      </c>
    </row>
    <row r="14" spans="2:16" s="74" customFormat="1" x14ac:dyDescent="0.15">
      <c r="C14" s="25">
        <v>8</v>
      </c>
      <c r="D14" s="25" t="s">
        <v>1178</v>
      </c>
      <c r="E14" s="25" t="s">
        <v>1179</v>
      </c>
      <c r="F14" s="25" t="s">
        <v>252</v>
      </c>
      <c r="G14" s="25"/>
      <c r="H14" s="25" t="s">
        <v>764</v>
      </c>
      <c r="I14" s="25"/>
      <c r="K14" s="25">
        <v>8</v>
      </c>
      <c r="L14" s="25" t="s">
        <v>1179</v>
      </c>
      <c r="M14" s="25" t="s">
        <v>1178</v>
      </c>
      <c r="N14" s="25" t="s">
        <v>252</v>
      </c>
      <c r="O14" s="25">
        <v>0</v>
      </c>
      <c r="P14" s="25" t="s">
        <v>224</v>
      </c>
    </row>
    <row r="15" spans="2:16" s="74" customFormat="1" x14ac:dyDescent="0.15">
      <c r="C15" s="25">
        <v>9</v>
      </c>
      <c r="D15" s="25" t="s">
        <v>1175</v>
      </c>
      <c r="E15" s="25" t="s">
        <v>1177</v>
      </c>
      <c r="F15" s="25" t="s">
        <v>252</v>
      </c>
      <c r="G15" s="25">
        <v>12</v>
      </c>
      <c r="H15" s="25" t="s">
        <v>764</v>
      </c>
      <c r="I15" s="25"/>
      <c r="K15" s="25">
        <v>9</v>
      </c>
      <c r="L15" s="25" t="s">
        <v>1176</v>
      </c>
      <c r="M15" s="25" t="s">
        <v>1175</v>
      </c>
      <c r="N15" s="25" t="s">
        <v>252</v>
      </c>
      <c r="O15" s="25">
        <v>0</v>
      </c>
      <c r="P15" s="25" t="s">
        <v>224</v>
      </c>
    </row>
    <row r="16" spans="2:16" s="74" customFormat="1" x14ac:dyDescent="0.15">
      <c r="C16" s="25">
        <v>10</v>
      </c>
      <c r="D16" s="25" t="s">
        <v>1173</v>
      </c>
      <c r="E16" s="25" t="s">
        <v>1174</v>
      </c>
      <c r="F16" s="25" t="s">
        <v>252</v>
      </c>
      <c r="G16" s="25"/>
      <c r="H16" s="25"/>
      <c r="I16" s="25"/>
      <c r="K16" s="25">
        <v>10</v>
      </c>
      <c r="L16" s="25" t="s">
        <v>1174</v>
      </c>
      <c r="M16" s="25" t="s">
        <v>1173</v>
      </c>
      <c r="N16" s="25" t="s">
        <v>252</v>
      </c>
      <c r="O16" s="25">
        <v>0</v>
      </c>
      <c r="P16" s="25" t="s">
        <v>224</v>
      </c>
    </row>
    <row r="17" spans="3:16" s="74" customFormat="1" x14ac:dyDescent="0.15">
      <c r="C17" s="25">
        <v>13</v>
      </c>
      <c r="D17" s="25" t="s">
        <v>1171</v>
      </c>
      <c r="E17" s="25" t="s">
        <v>1172</v>
      </c>
      <c r="F17" s="25" t="s">
        <v>252</v>
      </c>
      <c r="G17" s="25"/>
      <c r="H17" s="25" t="s">
        <v>764</v>
      </c>
      <c r="I17" s="25"/>
      <c r="K17" s="25">
        <v>13</v>
      </c>
      <c r="L17" s="25" t="s">
        <v>1172</v>
      </c>
      <c r="M17" s="25" t="s">
        <v>1171</v>
      </c>
      <c r="N17" s="25" t="s">
        <v>252</v>
      </c>
      <c r="O17" s="25">
        <v>0</v>
      </c>
      <c r="P17" s="25" t="s">
        <v>224</v>
      </c>
    </row>
    <row r="18" spans="3:16" s="74" customFormat="1" x14ac:dyDescent="0.15">
      <c r="C18" s="25">
        <v>14</v>
      </c>
      <c r="D18" s="25" t="s">
        <v>1168</v>
      </c>
      <c r="E18" s="25" t="s">
        <v>1170</v>
      </c>
      <c r="F18" s="25" t="s">
        <v>252</v>
      </c>
      <c r="G18" s="25">
        <v>12</v>
      </c>
      <c r="H18" s="25" t="s">
        <v>764</v>
      </c>
      <c r="I18" s="25"/>
      <c r="K18" s="25">
        <v>14</v>
      </c>
      <c r="L18" s="25" t="s">
        <v>1169</v>
      </c>
      <c r="M18" s="25" t="s">
        <v>1168</v>
      </c>
      <c r="N18" s="25" t="s">
        <v>252</v>
      </c>
      <c r="O18" s="25">
        <v>0</v>
      </c>
      <c r="P18" s="25" t="s">
        <v>224</v>
      </c>
    </row>
    <row r="19" spans="3:16" s="74" customFormat="1" x14ac:dyDescent="0.15">
      <c r="C19" s="25">
        <v>15</v>
      </c>
      <c r="D19" s="25" t="s">
        <v>1166</v>
      </c>
      <c r="E19" s="25" t="s">
        <v>1167</v>
      </c>
      <c r="F19" s="25" t="s">
        <v>252</v>
      </c>
      <c r="G19" s="25"/>
      <c r="H19" s="25"/>
      <c r="I19" s="25"/>
      <c r="K19" s="25">
        <v>15</v>
      </c>
      <c r="L19" s="25" t="s">
        <v>1167</v>
      </c>
      <c r="M19" s="25" t="s">
        <v>1166</v>
      </c>
      <c r="N19" s="25" t="s">
        <v>252</v>
      </c>
      <c r="O19" s="25">
        <v>0</v>
      </c>
      <c r="P19" s="25" t="s">
        <v>224</v>
      </c>
    </row>
    <row r="20" spans="3:16" s="74" customFormat="1" x14ac:dyDescent="0.15"/>
    <row r="21" spans="3:16" s="74" customFormat="1" x14ac:dyDescent="0.15"/>
    <row r="22" spans="3:16" s="74" customFormat="1" x14ac:dyDescent="0.15"/>
    <row r="23" spans="3:16" s="74" customFormat="1" x14ac:dyDescent="0.15"/>
    <row r="24" spans="3:16" s="74" customFormat="1" x14ac:dyDescent="0.15"/>
    <row r="25" spans="3:16" s="74" customFormat="1" x14ac:dyDescent="0.15"/>
    <row r="26" spans="3:16" s="74" customFormat="1" x14ac:dyDescent="0.15"/>
    <row r="27" spans="3:16" s="74" customFormat="1" x14ac:dyDescent="0.15"/>
    <row r="28" spans="3:16" s="74" customFormat="1" x14ac:dyDescent="0.15"/>
    <row r="29" spans="3:16" s="74" customFormat="1" x14ac:dyDescent="0.15"/>
    <row r="30" spans="3:16" s="74" customFormat="1" x14ac:dyDescent="0.15"/>
    <row r="31" spans="3:16" s="74" customFormat="1" x14ac:dyDescent="0.15"/>
    <row r="32" spans="3:16"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6C2B18D1-20CA-43B2-B9A7-63F09132ABBF}"/>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81CD4-8A7B-496B-8A17-A06AA0A1A2F8}">
  <sheetPr codeName="Sheet82">
    <pageSetUpPr fitToPage="1"/>
  </sheetPr>
  <dimension ref="B2:P709"/>
  <sheetViews>
    <sheetView view="pageBreakPreview" zoomScaleSheetLayoutView="100" workbookViewId="0"/>
  </sheetViews>
  <sheetFormatPr defaultRowHeight="13.5" x14ac:dyDescent="0.15"/>
  <cols>
    <col min="1" max="2" width="2.25" customWidth="1"/>
    <col min="3" max="3" width="4.5" customWidth="1"/>
    <col min="4" max="4" width="24" bestFit="1" customWidth="1"/>
    <col min="5" max="5" width="29.625" customWidth="1"/>
    <col min="6" max="6" width="8.25" customWidth="1"/>
    <col min="7" max="7" width="5.375" customWidth="1"/>
    <col min="8" max="8" width="6" customWidth="1"/>
    <col min="9" max="9" width="65.75" hidden="1" customWidth="1"/>
    <col min="10" max="10" width="2.25" customWidth="1"/>
    <col min="11" max="11" width="4.5" customWidth="1"/>
    <col min="12" max="12" width="35.75" customWidth="1"/>
    <col min="13" max="13" width="29" customWidth="1"/>
    <col min="14" max="14" width="8" customWidth="1"/>
    <col min="15" max="15" width="9.25" customWidth="1"/>
    <col min="16" max="16" width="11.75" customWidth="1"/>
  </cols>
  <sheetData>
    <row r="2" spans="2:16" x14ac:dyDescent="0.15">
      <c r="B2" s="5" t="s">
        <v>1560</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4" customFormat="1" x14ac:dyDescent="0.15">
      <c r="C7" s="25">
        <v>1</v>
      </c>
      <c r="D7" s="25" t="s">
        <v>1537</v>
      </c>
      <c r="E7" s="25" t="s">
        <v>1535</v>
      </c>
      <c r="F7" s="25" t="s">
        <v>39</v>
      </c>
      <c r="G7" s="25">
        <v>4</v>
      </c>
      <c r="H7" s="25" t="s">
        <v>40</v>
      </c>
      <c r="I7" s="25"/>
      <c r="K7" s="25">
        <v>1</v>
      </c>
      <c r="L7" s="25" t="s">
        <v>1536</v>
      </c>
      <c r="M7" s="25" t="s">
        <v>1535</v>
      </c>
      <c r="N7" s="25" t="s">
        <v>252</v>
      </c>
      <c r="O7" s="80">
        <v>1</v>
      </c>
      <c r="P7" s="25" t="s">
        <v>224</v>
      </c>
    </row>
    <row r="8" spans="2:16" s="74" customFormat="1" x14ac:dyDescent="0.15">
      <c r="C8" s="25">
        <v>2</v>
      </c>
      <c r="D8" s="25" t="s">
        <v>1534</v>
      </c>
      <c r="E8" s="25" t="s">
        <v>1532</v>
      </c>
      <c r="F8" s="25" t="s">
        <v>39</v>
      </c>
      <c r="G8" s="25">
        <v>3</v>
      </c>
      <c r="H8" s="25" t="s">
        <v>40</v>
      </c>
      <c r="I8" s="25"/>
      <c r="K8" s="25">
        <v>2</v>
      </c>
      <c r="L8" s="25" t="s">
        <v>1533</v>
      </c>
      <c r="M8" s="25" t="s">
        <v>1532</v>
      </c>
      <c r="N8" s="25" t="s">
        <v>252</v>
      </c>
      <c r="O8" s="80">
        <v>1</v>
      </c>
      <c r="P8" s="25" t="s">
        <v>224</v>
      </c>
    </row>
    <row r="9" spans="2:16" s="74" customFormat="1" x14ac:dyDescent="0.15">
      <c r="C9" s="25">
        <v>3</v>
      </c>
      <c r="D9" s="25" t="s">
        <v>1531</v>
      </c>
      <c r="E9" s="25" t="s">
        <v>1529</v>
      </c>
      <c r="F9" s="25" t="s">
        <v>39</v>
      </c>
      <c r="G9" s="25">
        <v>15</v>
      </c>
      <c r="H9" s="25"/>
      <c r="I9" s="25"/>
      <c r="K9" s="25">
        <v>3</v>
      </c>
      <c r="L9" s="25" t="s">
        <v>1530</v>
      </c>
      <c r="M9" s="25" t="s">
        <v>1529</v>
      </c>
      <c r="N9" s="25" t="s">
        <v>252</v>
      </c>
      <c r="O9" s="80">
        <v>0</v>
      </c>
      <c r="P9" s="25"/>
    </row>
    <row r="10" spans="2:16" s="74" customFormat="1" ht="27" x14ac:dyDescent="0.15">
      <c r="C10" s="25">
        <v>4</v>
      </c>
      <c r="D10" s="25" t="s">
        <v>1528</v>
      </c>
      <c r="E10" s="25" t="s">
        <v>1526</v>
      </c>
      <c r="F10" s="25" t="s">
        <v>39</v>
      </c>
      <c r="G10" s="57">
        <v>30</v>
      </c>
      <c r="H10" s="57"/>
      <c r="I10" s="57" t="s">
        <v>112</v>
      </c>
      <c r="K10" s="25">
        <v>4</v>
      </c>
      <c r="L10" s="25" t="s">
        <v>1527</v>
      </c>
      <c r="M10" s="25" t="s">
        <v>1526</v>
      </c>
      <c r="N10" s="25" t="s">
        <v>252</v>
      </c>
      <c r="O10" s="80">
        <v>0</v>
      </c>
      <c r="P10" s="81"/>
    </row>
    <row r="11" spans="2:16" s="74" customFormat="1" x14ac:dyDescent="0.15">
      <c r="C11" s="25">
        <v>5</v>
      </c>
      <c r="D11" s="25" t="s">
        <v>1525</v>
      </c>
      <c r="E11" s="25" t="s">
        <v>1523</v>
      </c>
      <c r="F11" s="25" t="s">
        <v>39</v>
      </c>
      <c r="G11" s="25">
        <v>15</v>
      </c>
      <c r="H11" s="25"/>
      <c r="I11" s="25"/>
      <c r="K11" s="25">
        <v>5</v>
      </c>
      <c r="L11" s="25" t="s">
        <v>1524</v>
      </c>
      <c r="M11" s="25" t="s">
        <v>1523</v>
      </c>
      <c r="N11" s="25" t="s">
        <v>252</v>
      </c>
      <c r="O11" s="80">
        <v>0</v>
      </c>
      <c r="P11" s="81"/>
    </row>
    <row r="12" spans="2:16" s="74" customFormat="1" ht="40.5" x14ac:dyDescent="0.15">
      <c r="C12" s="25">
        <v>6</v>
      </c>
      <c r="D12" s="25" t="s">
        <v>1522</v>
      </c>
      <c r="E12" s="25" t="s">
        <v>1520</v>
      </c>
      <c r="F12" s="25" t="s">
        <v>39</v>
      </c>
      <c r="G12" s="57">
        <v>30</v>
      </c>
      <c r="H12" s="57"/>
      <c r="I12" s="57" t="s">
        <v>113</v>
      </c>
      <c r="K12" s="25">
        <v>6</v>
      </c>
      <c r="L12" s="25" t="s">
        <v>1521</v>
      </c>
      <c r="M12" s="25" t="s">
        <v>1520</v>
      </c>
      <c r="N12" s="25" t="s">
        <v>252</v>
      </c>
      <c r="O12" s="80">
        <v>0</v>
      </c>
      <c r="P12" s="81"/>
    </row>
    <row r="13" spans="2:16" s="74" customFormat="1" x14ac:dyDescent="0.15"/>
    <row r="14" spans="2:16" s="74" customFormat="1" x14ac:dyDescent="0.15"/>
    <row r="15" spans="2:16" s="74" customFormat="1" x14ac:dyDescent="0.15"/>
    <row r="16" spans="2:16" s="74" customFormat="1" x14ac:dyDescent="0.15"/>
    <row r="17" s="74" customFormat="1" x14ac:dyDescent="0.15"/>
    <row r="18" s="74" customFormat="1" x14ac:dyDescent="0.15"/>
    <row r="19" s="74" customFormat="1" x14ac:dyDescent="0.15"/>
    <row r="20" s="74" customFormat="1" x14ac:dyDescent="0.15"/>
    <row r="21" s="74" customFormat="1" x14ac:dyDescent="0.15"/>
    <row r="22" s="74" customFormat="1" x14ac:dyDescent="0.15"/>
    <row r="23" s="74" customFormat="1" x14ac:dyDescent="0.15"/>
    <row r="24" s="74" customFormat="1" x14ac:dyDescent="0.15"/>
    <row r="25" s="74" customFormat="1" x14ac:dyDescent="0.15"/>
    <row r="26" s="74" customFormat="1" x14ac:dyDescent="0.15"/>
    <row r="27" s="74" customFormat="1" x14ac:dyDescent="0.15"/>
    <row r="28" s="74" customFormat="1" x14ac:dyDescent="0.15"/>
    <row r="29" s="74" customFormat="1" x14ac:dyDescent="0.15"/>
    <row r="30" s="74" customFormat="1" x14ac:dyDescent="0.15"/>
    <row r="31" s="74" customFormat="1" x14ac:dyDescent="0.15"/>
    <row r="32" s="74" customFormat="1" x14ac:dyDescent="0.15"/>
    <row r="33" s="74" customFormat="1" x14ac:dyDescent="0.15"/>
    <row r="34" s="74" customFormat="1" x14ac:dyDescent="0.15"/>
    <row r="35" s="74" customFormat="1" x14ac:dyDescent="0.15"/>
    <row r="36" s="74" customFormat="1" x14ac:dyDescent="0.15"/>
    <row r="37" s="74" customFormat="1" x14ac:dyDescent="0.15"/>
    <row r="38" s="74" customFormat="1" x14ac:dyDescent="0.15"/>
    <row r="39" s="74" customFormat="1" x14ac:dyDescent="0.15"/>
    <row r="40" s="74" customFormat="1" x14ac:dyDescent="0.15"/>
    <row r="41" s="74" customFormat="1" x14ac:dyDescent="0.15"/>
    <row r="42" s="74" customFormat="1" x14ac:dyDescent="0.15"/>
    <row r="43" s="74" customFormat="1" x14ac:dyDescent="0.15"/>
    <row r="44" s="74" customFormat="1" x14ac:dyDescent="0.15"/>
    <row r="45" s="74" customFormat="1" x14ac:dyDescent="0.15"/>
    <row r="46" s="74" customFormat="1" x14ac:dyDescent="0.15"/>
    <row r="47" s="74" customFormat="1" x14ac:dyDescent="0.15"/>
    <row r="48"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row r="487" s="74" customFormat="1" x14ac:dyDescent="0.15"/>
    <row r="488" s="74" customFormat="1" x14ac:dyDescent="0.15"/>
    <row r="489" s="74" customFormat="1" x14ac:dyDescent="0.15"/>
    <row r="490" s="74" customFormat="1" x14ac:dyDescent="0.15"/>
    <row r="491" s="74" customFormat="1" x14ac:dyDescent="0.15"/>
    <row r="492" s="74" customFormat="1" x14ac:dyDescent="0.15"/>
    <row r="493" s="74" customFormat="1" x14ac:dyDescent="0.15"/>
    <row r="494" s="74" customFormat="1" x14ac:dyDescent="0.15"/>
    <row r="495" s="74" customFormat="1" x14ac:dyDescent="0.15"/>
    <row r="496" s="74" customFormat="1" x14ac:dyDescent="0.15"/>
    <row r="497" s="74" customFormat="1" x14ac:dyDescent="0.15"/>
    <row r="498" s="74" customFormat="1" x14ac:dyDescent="0.15"/>
    <row r="499" s="74" customFormat="1" x14ac:dyDescent="0.15"/>
    <row r="500" s="74" customFormat="1" x14ac:dyDescent="0.15"/>
    <row r="501" s="74" customFormat="1" x14ac:dyDescent="0.15"/>
    <row r="502" s="74" customFormat="1" x14ac:dyDescent="0.15"/>
    <row r="503" s="74" customFormat="1" x14ac:dyDescent="0.15"/>
    <row r="504" s="74" customFormat="1" x14ac:dyDescent="0.15"/>
    <row r="505" s="74" customFormat="1" x14ac:dyDescent="0.15"/>
    <row r="506" s="74" customFormat="1" x14ac:dyDescent="0.15"/>
    <row r="507" s="74" customFormat="1" x14ac:dyDescent="0.15"/>
    <row r="508" s="74" customFormat="1" x14ac:dyDescent="0.15"/>
    <row r="509" s="74" customFormat="1" x14ac:dyDescent="0.15"/>
    <row r="510" s="74" customFormat="1" x14ac:dyDescent="0.15"/>
    <row r="511" s="74" customFormat="1" x14ac:dyDescent="0.15"/>
    <row r="512" s="74" customFormat="1" x14ac:dyDescent="0.15"/>
    <row r="513" s="74" customFormat="1" x14ac:dyDescent="0.15"/>
    <row r="514" s="74" customFormat="1" x14ac:dyDescent="0.15"/>
    <row r="515" s="74" customFormat="1" x14ac:dyDescent="0.15"/>
    <row r="516" s="74" customFormat="1" x14ac:dyDescent="0.15"/>
    <row r="517" s="74" customFormat="1" x14ac:dyDescent="0.15"/>
    <row r="518" s="74" customFormat="1" x14ac:dyDescent="0.15"/>
    <row r="519" s="74" customFormat="1" x14ac:dyDescent="0.15"/>
    <row r="520" s="74" customFormat="1" x14ac:dyDescent="0.15"/>
    <row r="521" s="74" customFormat="1" x14ac:dyDescent="0.15"/>
    <row r="522" s="74" customFormat="1" x14ac:dyDescent="0.15"/>
    <row r="523" s="74" customFormat="1" x14ac:dyDescent="0.15"/>
    <row r="524" s="74" customFormat="1" x14ac:dyDescent="0.15"/>
    <row r="525" s="74" customFormat="1" x14ac:dyDescent="0.15"/>
    <row r="526" s="74" customFormat="1" x14ac:dyDescent="0.15"/>
    <row r="527" s="74" customFormat="1" x14ac:dyDescent="0.15"/>
    <row r="528" s="74" customFormat="1" x14ac:dyDescent="0.15"/>
    <row r="529" s="74" customFormat="1" x14ac:dyDescent="0.15"/>
    <row r="530" s="74" customFormat="1" x14ac:dyDescent="0.15"/>
    <row r="531" s="74" customFormat="1" x14ac:dyDescent="0.15"/>
    <row r="532" s="74" customFormat="1" x14ac:dyDescent="0.15"/>
    <row r="533" s="74" customFormat="1" x14ac:dyDescent="0.15"/>
    <row r="534" s="74" customFormat="1" x14ac:dyDescent="0.15"/>
    <row r="535" s="74" customFormat="1" x14ac:dyDescent="0.15"/>
    <row r="536" s="74" customFormat="1" x14ac:dyDescent="0.15"/>
    <row r="537" s="74" customFormat="1" x14ac:dyDescent="0.15"/>
    <row r="538" s="74" customFormat="1" x14ac:dyDescent="0.15"/>
    <row r="539" s="74" customFormat="1" x14ac:dyDescent="0.15"/>
    <row r="540" s="74" customFormat="1" x14ac:dyDescent="0.15"/>
    <row r="541" s="74" customFormat="1" x14ac:dyDescent="0.15"/>
    <row r="542" s="74" customFormat="1" x14ac:dyDescent="0.15"/>
    <row r="543" s="74" customFormat="1" x14ac:dyDescent="0.15"/>
    <row r="544" s="74" customFormat="1" x14ac:dyDescent="0.15"/>
    <row r="545" s="74" customFormat="1" x14ac:dyDescent="0.15"/>
    <row r="546" s="74" customFormat="1" x14ac:dyDescent="0.15"/>
    <row r="547" s="74" customFormat="1" x14ac:dyDescent="0.15"/>
    <row r="548" s="74" customFormat="1" x14ac:dyDescent="0.15"/>
    <row r="549" s="74" customFormat="1" x14ac:dyDescent="0.15"/>
    <row r="550" s="74" customFormat="1" x14ac:dyDescent="0.15"/>
    <row r="551" s="74" customFormat="1" x14ac:dyDescent="0.15"/>
    <row r="552" s="74" customFormat="1" x14ac:dyDescent="0.15"/>
    <row r="553" s="74" customFormat="1" x14ac:dyDescent="0.15"/>
    <row r="554" s="74" customFormat="1" x14ac:dyDescent="0.15"/>
    <row r="555" s="74" customFormat="1" x14ac:dyDescent="0.15"/>
    <row r="556" s="74" customFormat="1" x14ac:dyDescent="0.15"/>
    <row r="557" s="74" customFormat="1" x14ac:dyDescent="0.15"/>
    <row r="558" s="74" customFormat="1" x14ac:dyDescent="0.15"/>
    <row r="559" s="74" customFormat="1" x14ac:dyDescent="0.15"/>
    <row r="560" s="74" customFormat="1" x14ac:dyDescent="0.15"/>
    <row r="561" s="74" customFormat="1" x14ac:dyDescent="0.15"/>
    <row r="562" s="74" customFormat="1" x14ac:dyDescent="0.15"/>
    <row r="563" s="74" customFormat="1" x14ac:dyDescent="0.15"/>
    <row r="564" s="74" customFormat="1" x14ac:dyDescent="0.15"/>
    <row r="565" s="74" customFormat="1" x14ac:dyDescent="0.15"/>
    <row r="566" s="74" customFormat="1" x14ac:dyDescent="0.15"/>
    <row r="567" s="74" customFormat="1" x14ac:dyDescent="0.15"/>
    <row r="568" s="74" customFormat="1" x14ac:dyDescent="0.15"/>
    <row r="569" s="74" customFormat="1" x14ac:dyDescent="0.15"/>
    <row r="570" s="74" customFormat="1" x14ac:dyDescent="0.15"/>
    <row r="571" s="74" customFormat="1" x14ac:dyDescent="0.15"/>
    <row r="572" s="74" customFormat="1" x14ac:dyDescent="0.15"/>
    <row r="573" s="74" customFormat="1" x14ac:dyDescent="0.15"/>
    <row r="574" s="74" customFormat="1" x14ac:dyDescent="0.15"/>
    <row r="575" s="74" customFormat="1" x14ac:dyDescent="0.15"/>
    <row r="576" s="74" customFormat="1" x14ac:dyDescent="0.15"/>
    <row r="577" s="74" customFormat="1" x14ac:dyDescent="0.15"/>
    <row r="578" s="74" customFormat="1" x14ac:dyDescent="0.15"/>
    <row r="579" s="74" customFormat="1" x14ac:dyDescent="0.15"/>
    <row r="580" s="74" customFormat="1" x14ac:dyDescent="0.15"/>
    <row r="581" s="74" customFormat="1" x14ac:dyDescent="0.15"/>
    <row r="582" s="74" customFormat="1" x14ac:dyDescent="0.15"/>
    <row r="583" s="74" customFormat="1" x14ac:dyDescent="0.15"/>
    <row r="584" s="74" customFormat="1" x14ac:dyDescent="0.15"/>
    <row r="585" s="74" customFormat="1" x14ac:dyDescent="0.15"/>
    <row r="586" s="74" customFormat="1" x14ac:dyDescent="0.15"/>
    <row r="587" s="74" customFormat="1" x14ac:dyDescent="0.15"/>
    <row r="588" s="74" customFormat="1" x14ac:dyDescent="0.15"/>
    <row r="589" s="74" customFormat="1" x14ac:dyDescent="0.15"/>
    <row r="590" s="74" customFormat="1" x14ac:dyDescent="0.15"/>
    <row r="591" s="74" customFormat="1" x14ac:dyDescent="0.15"/>
    <row r="592" s="74" customFormat="1" x14ac:dyDescent="0.15"/>
    <row r="593" s="74" customFormat="1" x14ac:dyDescent="0.15"/>
    <row r="594" s="74" customFormat="1" x14ac:dyDescent="0.15"/>
    <row r="595" s="74" customFormat="1" x14ac:dyDescent="0.15"/>
    <row r="596" s="74" customFormat="1" x14ac:dyDescent="0.15"/>
    <row r="597" s="74" customFormat="1" x14ac:dyDescent="0.15"/>
    <row r="598" s="74" customFormat="1" x14ac:dyDescent="0.15"/>
    <row r="599" s="74" customFormat="1" x14ac:dyDescent="0.15"/>
    <row r="600" s="74" customFormat="1" x14ac:dyDescent="0.15"/>
    <row r="601" s="74" customFormat="1" x14ac:dyDescent="0.15"/>
    <row r="602" s="74" customFormat="1" x14ac:dyDescent="0.15"/>
    <row r="603" s="74" customFormat="1" x14ac:dyDescent="0.15"/>
    <row r="604" s="74" customFormat="1" x14ac:dyDescent="0.15"/>
    <row r="605" s="74" customFormat="1" x14ac:dyDescent="0.15"/>
    <row r="606" s="74" customFormat="1" x14ac:dyDescent="0.15"/>
    <row r="607" s="74" customFormat="1" x14ac:dyDescent="0.15"/>
    <row r="608" s="74" customFormat="1" x14ac:dyDescent="0.15"/>
    <row r="609" s="74" customFormat="1" x14ac:dyDescent="0.15"/>
    <row r="610" s="74" customFormat="1" x14ac:dyDescent="0.15"/>
    <row r="611" s="74" customFormat="1" x14ac:dyDescent="0.15"/>
    <row r="612" s="74" customFormat="1" x14ac:dyDescent="0.15"/>
    <row r="613" s="74" customFormat="1" x14ac:dyDescent="0.15"/>
    <row r="614" s="74" customFormat="1" x14ac:dyDescent="0.15"/>
    <row r="615" s="74" customFormat="1" x14ac:dyDescent="0.15"/>
    <row r="616" s="74" customFormat="1" x14ac:dyDescent="0.15"/>
    <row r="617" s="74" customFormat="1" x14ac:dyDescent="0.15"/>
    <row r="618" s="74" customFormat="1" x14ac:dyDescent="0.15"/>
    <row r="619" s="74" customFormat="1" x14ac:dyDescent="0.15"/>
    <row r="620" s="74" customFormat="1" x14ac:dyDescent="0.15"/>
    <row r="621" s="74" customFormat="1" x14ac:dyDescent="0.15"/>
    <row r="622" s="74" customFormat="1" x14ac:dyDescent="0.15"/>
    <row r="623" s="74" customFormat="1" x14ac:dyDescent="0.15"/>
    <row r="624" s="74" customFormat="1" x14ac:dyDescent="0.15"/>
    <row r="625" s="74" customFormat="1" x14ac:dyDescent="0.15"/>
    <row r="626" s="74" customFormat="1" x14ac:dyDescent="0.15"/>
    <row r="627" s="74" customFormat="1" x14ac:dyDescent="0.15"/>
    <row r="628" s="74" customFormat="1" x14ac:dyDescent="0.15"/>
    <row r="629" s="74" customFormat="1" x14ac:dyDescent="0.15"/>
    <row r="630" s="74" customFormat="1" x14ac:dyDescent="0.15"/>
    <row r="631" s="74" customFormat="1" x14ac:dyDescent="0.15"/>
    <row r="632" s="74" customFormat="1" x14ac:dyDescent="0.15"/>
    <row r="633" s="74" customFormat="1" x14ac:dyDescent="0.15"/>
    <row r="634" s="74" customFormat="1" x14ac:dyDescent="0.15"/>
    <row r="635" s="74" customFormat="1" x14ac:dyDescent="0.15"/>
    <row r="636" s="74" customFormat="1" x14ac:dyDescent="0.15"/>
    <row r="637" s="74" customFormat="1" x14ac:dyDescent="0.15"/>
    <row r="638" s="74" customFormat="1" x14ac:dyDescent="0.15"/>
    <row r="639" s="74" customFormat="1" x14ac:dyDescent="0.15"/>
    <row r="640" s="74" customFormat="1" x14ac:dyDescent="0.15"/>
    <row r="641" s="74" customFormat="1" x14ac:dyDescent="0.15"/>
    <row r="642" s="74" customFormat="1" x14ac:dyDescent="0.15"/>
    <row r="643" s="74" customFormat="1" x14ac:dyDescent="0.15"/>
    <row r="644" s="74" customFormat="1" x14ac:dyDescent="0.15"/>
    <row r="645" s="74" customFormat="1" x14ac:dyDescent="0.15"/>
    <row r="646" s="74" customFormat="1" x14ac:dyDescent="0.15"/>
    <row r="647" s="74" customFormat="1" x14ac:dyDescent="0.15"/>
    <row r="648" s="74" customFormat="1" x14ac:dyDescent="0.15"/>
    <row r="649" s="74" customFormat="1" x14ac:dyDescent="0.15"/>
    <row r="650" s="74" customFormat="1" x14ac:dyDescent="0.15"/>
    <row r="651" s="74" customFormat="1" x14ac:dyDescent="0.15"/>
    <row r="652" s="74" customFormat="1" x14ac:dyDescent="0.15"/>
    <row r="653" s="74" customFormat="1" x14ac:dyDescent="0.15"/>
    <row r="654" s="74" customFormat="1" x14ac:dyDescent="0.15"/>
    <row r="655" s="74" customFormat="1" x14ac:dyDescent="0.15"/>
    <row r="656" s="74" customFormat="1" x14ac:dyDescent="0.15"/>
    <row r="657" s="74" customFormat="1" x14ac:dyDescent="0.15"/>
    <row r="658" s="74" customFormat="1" x14ac:dyDescent="0.15"/>
    <row r="659" s="74" customFormat="1" x14ac:dyDescent="0.15"/>
    <row r="660" s="74" customFormat="1" x14ac:dyDescent="0.15"/>
    <row r="661" s="74" customFormat="1" x14ac:dyDescent="0.15"/>
    <row r="662" s="74" customFormat="1" x14ac:dyDescent="0.15"/>
    <row r="663" s="74" customFormat="1" x14ac:dyDescent="0.15"/>
    <row r="664" s="74" customFormat="1" x14ac:dyDescent="0.15"/>
    <row r="665" s="74" customFormat="1" x14ac:dyDescent="0.15"/>
    <row r="666" s="74" customFormat="1" x14ac:dyDescent="0.15"/>
    <row r="667" s="74" customFormat="1" x14ac:dyDescent="0.15"/>
    <row r="668" s="74" customFormat="1" x14ac:dyDescent="0.15"/>
    <row r="669" s="74" customFormat="1" x14ac:dyDescent="0.15"/>
    <row r="670" s="74" customFormat="1" x14ac:dyDescent="0.15"/>
    <row r="671" s="74" customFormat="1" x14ac:dyDescent="0.15"/>
    <row r="672" s="74" customFormat="1" x14ac:dyDescent="0.15"/>
    <row r="673" s="74" customFormat="1" x14ac:dyDescent="0.15"/>
    <row r="674" s="74" customFormat="1" x14ac:dyDescent="0.15"/>
    <row r="675" s="74" customFormat="1" x14ac:dyDescent="0.15"/>
    <row r="676" s="74" customFormat="1" x14ac:dyDescent="0.15"/>
    <row r="677" s="74" customFormat="1" x14ac:dyDescent="0.15"/>
    <row r="678" s="74" customFormat="1" x14ac:dyDescent="0.15"/>
    <row r="679" s="74" customFormat="1" x14ac:dyDescent="0.15"/>
    <row r="680" s="74" customFormat="1" x14ac:dyDescent="0.15"/>
    <row r="681" s="74" customFormat="1" x14ac:dyDescent="0.15"/>
    <row r="682" s="74" customFormat="1" x14ac:dyDescent="0.15"/>
    <row r="683" s="74" customFormat="1" x14ac:dyDescent="0.15"/>
    <row r="684" s="74" customFormat="1" x14ac:dyDescent="0.15"/>
    <row r="685" s="74" customFormat="1" x14ac:dyDescent="0.15"/>
    <row r="686" s="74" customFormat="1" x14ac:dyDescent="0.15"/>
    <row r="687" s="74" customFormat="1" x14ac:dyDescent="0.15"/>
    <row r="688" s="74" customFormat="1" x14ac:dyDescent="0.15"/>
    <row r="689" s="74" customFormat="1" x14ac:dyDescent="0.15"/>
    <row r="690" s="74" customFormat="1" x14ac:dyDescent="0.15"/>
    <row r="691" s="74" customFormat="1" x14ac:dyDescent="0.15"/>
    <row r="692" s="74" customFormat="1" x14ac:dyDescent="0.15"/>
    <row r="693" s="74" customFormat="1" x14ac:dyDescent="0.15"/>
    <row r="694" s="74" customFormat="1" x14ac:dyDescent="0.15"/>
    <row r="695" s="74" customFormat="1" x14ac:dyDescent="0.15"/>
    <row r="696" s="74" customFormat="1" x14ac:dyDescent="0.15"/>
    <row r="697" s="74" customFormat="1" x14ac:dyDescent="0.15"/>
    <row r="698" s="74" customFormat="1" x14ac:dyDescent="0.15"/>
    <row r="699" s="74" customFormat="1" x14ac:dyDescent="0.15"/>
    <row r="700" s="74" customFormat="1" x14ac:dyDescent="0.15"/>
    <row r="701" s="74" customFormat="1" x14ac:dyDescent="0.15"/>
    <row r="702" s="74" customFormat="1" x14ac:dyDescent="0.15"/>
    <row r="703" s="74" customFormat="1" x14ac:dyDescent="0.15"/>
    <row r="704" s="74" customFormat="1" x14ac:dyDescent="0.15"/>
    <row r="705" s="74" customFormat="1" x14ac:dyDescent="0.15"/>
    <row r="706" s="74" customFormat="1" x14ac:dyDescent="0.15"/>
    <row r="707" s="74" customFormat="1" x14ac:dyDescent="0.15"/>
    <row r="708" s="74" customFormat="1" x14ac:dyDescent="0.15"/>
    <row r="709" s="74" customFormat="1" x14ac:dyDescent="0.15"/>
  </sheetData>
  <phoneticPr fontId="1"/>
  <hyperlinks>
    <hyperlink ref="C3" location="テーブルマッピング!A1" display="一覧へ戻る" xr:uid="{00000000-0004-0000-0100-000000000000}"/>
  </hyperlinks>
  <pageMargins left="0.70866141732283472" right="0.70866141732283472" top="0.74803149606299213" bottom="0.74803149606299213" header="0.31496062992125984" footer="0.31496062992125984"/>
  <pageSetup paperSize="9" scale="73" fitToHeight="0" orientation="landscape"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073AA-1905-4DD5-97BC-4F4F50D75D62}">
  <sheetPr codeName="Sheet84">
    <tabColor rgb="FFFFFF00"/>
    <pageSetUpPr fitToPage="1"/>
  </sheetPr>
  <dimension ref="B2:P486"/>
  <sheetViews>
    <sheetView view="pageBreakPreview" topLeftCell="H1" zoomScaleSheetLayoutView="100" workbookViewId="0">
      <selection activeCell="L11" sqref="L11:L37"/>
    </sheetView>
  </sheetViews>
  <sheetFormatPr defaultRowHeight="13.5" x14ac:dyDescent="0.15"/>
  <cols>
    <col min="1" max="2" width="2.25" customWidth="1"/>
    <col min="3" max="3" width="4.5" customWidth="1"/>
    <col min="4" max="4" width="24" bestFit="1" customWidth="1"/>
    <col min="5" max="5" width="29.625" customWidth="1"/>
    <col min="6" max="6" width="8.25" customWidth="1"/>
    <col min="7" max="7" width="5.375" customWidth="1"/>
    <col min="8" max="8" width="6" customWidth="1"/>
    <col min="9" max="9" width="65.75" hidden="1" customWidth="1"/>
    <col min="10" max="10" width="2.25" customWidth="1"/>
    <col min="11" max="11" width="4.5" customWidth="1"/>
    <col min="12" max="12" width="35.75" customWidth="1"/>
    <col min="13" max="13" width="29" customWidth="1"/>
    <col min="14" max="14" width="15.625" bestFit="1" customWidth="1"/>
    <col min="15" max="15" width="9.25" customWidth="1"/>
    <col min="16" max="16" width="11.75" customWidth="1"/>
  </cols>
  <sheetData>
    <row r="2" spans="2:16" x14ac:dyDescent="0.15">
      <c r="B2" s="5" t="s">
        <v>1606</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4" customFormat="1" x14ac:dyDescent="0.15">
      <c r="C7" s="85">
        <v>1</v>
      </c>
      <c r="D7" s="96" t="s">
        <v>1608</v>
      </c>
      <c r="E7" s="105" t="s">
        <v>875</v>
      </c>
      <c r="F7" s="105" t="s">
        <v>35</v>
      </c>
      <c r="G7" s="85">
        <v>2</v>
      </c>
      <c r="H7" s="85" t="s">
        <v>40</v>
      </c>
      <c r="I7" s="25"/>
      <c r="K7" s="85">
        <v>1</v>
      </c>
      <c r="L7" s="105" t="s">
        <v>875</v>
      </c>
      <c r="M7" s="85" t="s">
        <v>871</v>
      </c>
      <c r="N7" s="105" t="s">
        <v>35</v>
      </c>
      <c r="O7" s="100">
        <v>1</v>
      </c>
      <c r="P7" s="85" t="s">
        <v>224</v>
      </c>
    </row>
    <row r="8" spans="2:16" s="74" customFormat="1" x14ac:dyDescent="0.15">
      <c r="C8" s="85">
        <v>2</v>
      </c>
      <c r="D8" s="96" t="s">
        <v>1609</v>
      </c>
      <c r="E8" s="85" t="s">
        <v>1610</v>
      </c>
      <c r="F8" s="105" t="s">
        <v>35</v>
      </c>
      <c r="G8" s="85">
        <v>1</v>
      </c>
      <c r="H8" s="85" t="s">
        <v>40</v>
      </c>
      <c r="I8" s="25"/>
      <c r="K8" s="85">
        <v>2</v>
      </c>
      <c r="L8" s="85" t="s">
        <v>1612</v>
      </c>
      <c r="M8" s="85" t="s">
        <v>1611</v>
      </c>
      <c r="N8" s="105" t="s">
        <v>35</v>
      </c>
      <c r="O8" s="100">
        <v>0</v>
      </c>
      <c r="P8" s="85" t="s">
        <v>224</v>
      </c>
    </row>
    <row r="9" spans="2:16" s="74" customFormat="1" x14ac:dyDescent="0.15">
      <c r="C9" s="85">
        <v>3</v>
      </c>
      <c r="D9" s="85" t="s">
        <v>1613</v>
      </c>
      <c r="E9" s="85" t="s">
        <v>1614</v>
      </c>
      <c r="F9" s="105" t="s">
        <v>35</v>
      </c>
      <c r="G9" s="85">
        <v>1</v>
      </c>
      <c r="H9" s="85" t="s">
        <v>40</v>
      </c>
      <c r="I9" s="25"/>
      <c r="K9" s="85">
        <v>3</v>
      </c>
      <c r="L9" s="85" t="s">
        <v>1614</v>
      </c>
      <c r="M9" s="85" t="s">
        <v>1615</v>
      </c>
      <c r="N9" s="105" t="s">
        <v>35</v>
      </c>
      <c r="O9" s="100">
        <v>0</v>
      </c>
      <c r="P9" s="85" t="s">
        <v>224</v>
      </c>
    </row>
    <row r="10" spans="2:16" s="74" customFormat="1" ht="27" x14ac:dyDescent="0.15">
      <c r="C10" s="85">
        <v>9</v>
      </c>
      <c r="D10" s="85" t="s">
        <v>1616</v>
      </c>
      <c r="E10" s="85" t="s">
        <v>1617</v>
      </c>
      <c r="F10" s="105" t="s">
        <v>35</v>
      </c>
      <c r="G10" s="95">
        <v>1</v>
      </c>
      <c r="H10" s="85" t="s">
        <v>40</v>
      </c>
      <c r="I10" s="57" t="s">
        <v>112</v>
      </c>
      <c r="K10" s="85">
        <v>4</v>
      </c>
      <c r="L10" s="85" t="s">
        <v>1617</v>
      </c>
      <c r="M10" s="85" t="s">
        <v>1618</v>
      </c>
      <c r="N10" s="105" t="s">
        <v>35</v>
      </c>
      <c r="O10" s="100">
        <v>0</v>
      </c>
      <c r="P10" s="85" t="s">
        <v>224</v>
      </c>
    </row>
    <row r="11" spans="2:16" s="74" customFormat="1" x14ac:dyDescent="0.15">
      <c r="C11" s="85">
        <v>26</v>
      </c>
      <c r="D11" s="85" t="s">
        <v>1619</v>
      </c>
      <c r="E11" s="85" t="s">
        <v>1620</v>
      </c>
      <c r="F11" s="105" t="s">
        <v>35</v>
      </c>
      <c r="G11" s="85">
        <v>1</v>
      </c>
      <c r="H11" s="85" t="s">
        <v>40</v>
      </c>
      <c r="I11" s="25"/>
      <c r="K11" s="85">
        <v>5</v>
      </c>
      <c r="L11" s="85" t="s">
        <v>1620</v>
      </c>
      <c r="M11" s="85" t="s">
        <v>1621</v>
      </c>
      <c r="N11" s="105" t="s">
        <v>35</v>
      </c>
      <c r="O11" s="100">
        <v>0</v>
      </c>
      <c r="P11" s="85" t="s">
        <v>224</v>
      </c>
    </row>
    <row r="12" spans="2:16" s="74" customFormat="1" ht="40.5" x14ac:dyDescent="0.15">
      <c r="C12" s="85">
        <v>27</v>
      </c>
      <c r="D12" s="85" t="s">
        <v>1622</v>
      </c>
      <c r="E12" s="85" t="s">
        <v>1623</v>
      </c>
      <c r="F12" s="105" t="s">
        <v>35</v>
      </c>
      <c r="G12" s="95">
        <v>1</v>
      </c>
      <c r="H12" s="85" t="s">
        <v>40</v>
      </c>
      <c r="I12" s="57" t="s">
        <v>113</v>
      </c>
      <c r="K12" s="85">
        <v>6</v>
      </c>
      <c r="L12" s="85" t="s">
        <v>1623</v>
      </c>
      <c r="M12" s="107" t="s">
        <v>1624</v>
      </c>
      <c r="N12" s="105" t="s">
        <v>35</v>
      </c>
      <c r="O12" s="100">
        <v>0</v>
      </c>
      <c r="P12" s="85" t="s">
        <v>224</v>
      </c>
    </row>
    <row r="13" spans="2:16" s="74" customFormat="1" x14ac:dyDescent="0.15">
      <c r="C13" s="85">
        <v>4</v>
      </c>
      <c r="D13" s="85" t="s">
        <v>1625</v>
      </c>
      <c r="E13" s="105" t="s">
        <v>1626</v>
      </c>
      <c r="F13" s="105" t="s">
        <v>35</v>
      </c>
      <c r="G13" s="85">
        <v>1</v>
      </c>
      <c r="H13" s="85" t="s">
        <v>40</v>
      </c>
      <c r="K13" s="85">
        <v>7</v>
      </c>
      <c r="L13" s="105" t="s">
        <v>1626</v>
      </c>
      <c r="M13" s="85" t="s">
        <v>1627</v>
      </c>
      <c r="N13" s="105" t="s">
        <v>35</v>
      </c>
      <c r="O13" s="100">
        <v>0</v>
      </c>
      <c r="P13" s="85" t="s">
        <v>224</v>
      </c>
    </row>
    <row r="14" spans="2:16" s="74" customFormat="1" x14ac:dyDescent="0.15">
      <c r="C14" s="85">
        <v>5</v>
      </c>
      <c r="D14" s="85" t="s">
        <v>1628</v>
      </c>
      <c r="E14" s="85" t="s">
        <v>1629</v>
      </c>
      <c r="F14" s="105" t="s">
        <v>35</v>
      </c>
      <c r="G14" s="85">
        <v>1</v>
      </c>
      <c r="H14" s="85" t="s">
        <v>40</v>
      </c>
      <c r="K14" s="85">
        <v>8</v>
      </c>
      <c r="L14" s="85" t="s">
        <v>1629</v>
      </c>
      <c r="M14" s="85" t="s">
        <v>1630</v>
      </c>
      <c r="N14" s="105" t="s">
        <v>35</v>
      </c>
      <c r="O14" s="100">
        <v>0</v>
      </c>
      <c r="P14" s="85" t="s">
        <v>224</v>
      </c>
    </row>
    <row r="15" spans="2:16" s="74" customFormat="1" x14ac:dyDescent="0.15">
      <c r="C15" s="85">
        <v>6</v>
      </c>
      <c r="D15" s="85" t="s">
        <v>1631</v>
      </c>
      <c r="E15" s="85" t="s">
        <v>1632</v>
      </c>
      <c r="F15" s="105" t="s">
        <v>35</v>
      </c>
      <c r="G15" s="85">
        <v>1</v>
      </c>
      <c r="H15" s="85" t="s">
        <v>40</v>
      </c>
      <c r="K15" s="85">
        <v>9</v>
      </c>
      <c r="L15" s="85" t="s">
        <v>1632</v>
      </c>
      <c r="M15" s="85" t="s">
        <v>1633</v>
      </c>
      <c r="N15" s="105" t="s">
        <v>35</v>
      </c>
      <c r="O15" s="100">
        <v>0</v>
      </c>
      <c r="P15" s="85" t="s">
        <v>224</v>
      </c>
    </row>
    <row r="16" spans="2:16" s="74" customFormat="1" x14ac:dyDescent="0.15">
      <c r="C16" s="85">
        <v>7</v>
      </c>
      <c r="D16" s="85" t="s">
        <v>1634</v>
      </c>
      <c r="E16" s="85" t="s">
        <v>1635</v>
      </c>
      <c r="F16" s="105" t="s">
        <v>35</v>
      </c>
      <c r="G16" s="85">
        <v>1</v>
      </c>
      <c r="H16" s="85" t="s">
        <v>40</v>
      </c>
      <c r="K16" s="85">
        <v>10</v>
      </c>
      <c r="L16" s="85" t="s">
        <v>1635</v>
      </c>
      <c r="M16" s="85" t="s">
        <v>1636</v>
      </c>
      <c r="N16" s="105" t="s">
        <v>35</v>
      </c>
      <c r="O16" s="100">
        <v>0</v>
      </c>
      <c r="P16" s="85" t="s">
        <v>224</v>
      </c>
    </row>
    <row r="17" spans="3:16" s="74" customFormat="1" x14ac:dyDescent="0.15">
      <c r="C17" s="85">
        <v>8</v>
      </c>
      <c r="D17" s="85" t="s">
        <v>1637</v>
      </c>
      <c r="E17" s="85" t="s">
        <v>1638</v>
      </c>
      <c r="F17" s="105" t="s">
        <v>35</v>
      </c>
      <c r="G17" s="85">
        <v>1</v>
      </c>
      <c r="H17" s="85" t="s">
        <v>40</v>
      </c>
      <c r="K17" s="85">
        <v>11</v>
      </c>
      <c r="L17" s="85" t="s">
        <v>1638</v>
      </c>
      <c r="M17" s="85" t="s">
        <v>1639</v>
      </c>
      <c r="N17" s="105" t="s">
        <v>35</v>
      </c>
      <c r="O17" s="100">
        <v>0</v>
      </c>
      <c r="P17" s="85" t="s">
        <v>224</v>
      </c>
    </row>
    <row r="18" spans="3:16" s="74" customFormat="1" x14ac:dyDescent="0.15">
      <c r="C18" s="85">
        <v>28</v>
      </c>
      <c r="D18" s="85" t="s">
        <v>1640</v>
      </c>
      <c r="E18" s="85" t="s">
        <v>1641</v>
      </c>
      <c r="F18" s="105" t="s">
        <v>35</v>
      </c>
      <c r="G18" s="95"/>
      <c r="H18" s="85" t="s">
        <v>40</v>
      </c>
      <c r="K18" s="85">
        <v>12</v>
      </c>
      <c r="L18" s="85" t="s">
        <v>1641</v>
      </c>
      <c r="M18" s="85" t="s">
        <v>1642</v>
      </c>
      <c r="N18" s="105" t="s">
        <v>35</v>
      </c>
      <c r="O18" s="100">
        <v>0</v>
      </c>
      <c r="P18" s="85" t="s">
        <v>224</v>
      </c>
    </row>
    <row r="19" spans="3:16" s="74" customFormat="1" x14ac:dyDescent="0.15">
      <c r="C19" s="85">
        <v>25</v>
      </c>
      <c r="D19" s="85" t="s">
        <v>1643</v>
      </c>
      <c r="E19" s="105" t="s">
        <v>1644</v>
      </c>
      <c r="F19" s="105" t="s">
        <v>35</v>
      </c>
      <c r="G19" s="85">
        <v>1</v>
      </c>
      <c r="H19" s="85" t="s">
        <v>40</v>
      </c>
      <c r="K19" s="85">
        <v>13</v>
      </c>
      <c r="L19" s="105" t="s">
        <v>1644</v>
      </c>
      <c r="M19" s="85" t="s">
        <v>1645</v>
      </c>
      <c r="N19" s="105" t="s">
        <v>35</v>
      </c>
      <c r="O19" s="100">
        <v>0</v>
      </c>
      <c r="P19" s="85" t="s">
        <v>224</v>
      </c>
    </row>
    <row r="20" spans="3:16" s="74" customFormat="1" x14ac:dyDescent="0.15">
      <c r="C20" s="85">
        <v>10</v>
      </c>
      <c r="D20" s="96" t="s">
        <v>1646</v>
      </c>
      <c r="E20" s="85" t="s">
        <v>1647</v>
      </c>
      <c r="F20" s="105" t="s">
        <v>35</v>
      </c>
      <c r="G20" s="85">
        <v>1</v>
      </c>
      <c r="H20" s="85" t="s">
        <v>40</v>
      </c>
      <c r="K20" s="85">
        <v>14</v>
      </c>
      <c r="L20" s="85" t="s">
        <v>1647</v>
      </c>
      <c r="M20" s="85" t="s">
        <v>1648</v>
      </c>
      <c r="N20" s="105" t="s">
        <v>35</v>
      </c>
      <c r="O20" s="100">
        <v>0</v>
      </c>
      <c r="P20" s="85" t="s">
        <v>224</v>
      </c>
    </row>
    <row r="21" spans="3:16" s="74" customFormat="1" x14ac:dyDescent="0.15">
      <c r="C21" s="85">
        <v>11</v>
      </c>
      <c r="D21" s="96" t="s">
        <v>1649</v>
      </c>
      <c r="E21" s="85" t="s">
        <v>1650</v>
      </c>
      <c r="F21" s="105" t="s">
        <v>35</v>
      </c>
      <c r="G21" s="85">
        <v>1</v>
      </c>
      <c r="H21" s="85" t="s">
        <v>40</v>
      </c>
      <c r="K21" s="85">
        <v>15</v>
      </c>
      <c r="L21" s="85" t="s">
        <v>1650</v>
      </c>
      <c r="M21" s="85" t="s">
        <v>1651</v>
      </c>
      <c r="N21" s="105" t="s">
        <v>35</v>
      </c>
      <c r="O21" s="100">
        <v>0</v>
      </c>
      <c r="P21" s="85" t="s">
        <v>224</v>
      </c>
    </row>
    <row r="22" spans="3:16" s="74" customFormat="1" x14ac:dyDescent="0.15">
      <c r="C22" s="85">
        <v>12</v>
      </c>
      <c r="D22" s="96" t="s">
        <v>1652</v>
      </c>
      <c r="E22" s="85" t="s">
        <v>1653</v>
      </c>
      <c r="F22" s="105" t="s">
        <v>35</v>
      </c>
      <c r="G22" s="85">
        <v>1</v>
      </c>
      <c r="H22" s="85" t="s">
        <v>40</v>
      </c>
      <c r="K22" s="85">
        <v>16</v>
      </c>
      <c r="L22" s="85" t="s">
        <v>1653</v>
      </c>
      <c r="M22" s="85" t="s">
        <v>1654</v>
      </c>
      <c r="N22" s="105" t="s">
        <v>35</v>
      </c>
      <c r="O22" s="100">
        <v>0</v>
      </c>
      <c r="P22" s="85" t="s">
        <v>224</v>
      </c>
    </row>
    <row r="23" spans="3:16" s="74" customFormat="1" x14ac:dyDescent="0.15">
      <c r="C23" s="85">
        <v>13</v>
      </c>
      <c r="D23" s="96" t="s">
        <v>1655</v>
      </c>
      <c r="E23" s="85" t="s">
        <v>1656</v>
      </c>
      <c r="F23" s="105" t="s">
        <v>35</v>
      </c>
      <c r="G23" s="85">
        <v>1</v>
      </c>
      <c r="H23" s="85" t="s">
        <v>40</v>
      </c>
      <c r="K23" s="85">
        <v>17</v>
      </c>
      <c r="L23" s="85" t="s">
        <v>1656</v>
      </c>
      <c r="M23" s="85" t="s">
        <v>1657</v>
      </c>
      <c r="N23" s="105" t="s">
        <v>35</v>
      </c>
      <c r="O23" s="100">
        <v>0</v>
      </c>
      <c r="P23" s="85" t="s">
        <v>224</v>
      </c>
    </row>
    <row r="24" spans="3:16" s="74" customFormat="1" x14ac:dyDescent="0.15">
      <c r="C24" s="85">
        <v>14</v>
      </c>
      <c r="D24" s="96" t="s">
        <v>1658</v>
      </c>
      <c r="E24" s="85" t="s">
        <v>1659</v>
      </c>
      <c r="F24" s="105" t="s">
        <v>35</v>
      </c>
      <c r="G24" s="85">
        <v>1</v>
      </c>
      <c r="H24" s="85" t="s">
        <v>40</v>
      </c>
      <c r="K24" s="85">
        <v>18</v>
      </c>
      <c r="L24" s="85" t="s">
        <v>1659</v>
      </c>
      <c r="M24" s="85" t="s">
        <v>1660</v>
      </c>
      <c r="N24" s="105" t="s">
        <v>35</v>
      </c>
      <c r="O24" s="100">
        <v>0</v>
      </c>
      <c r="P24" s="85" t="s">
        <v>224</v>
      </c>
    </row>
    <row r="25" spans="3:16" s="74" customFormat="1" x14ac:dyDescent="0.15">
      <c r="C25" s="85">
        <v>15</v>
      </c>
      <c r="D25" s="96" t="s">
        <v>1661</v>
      </c>
      <c r="E25" s="105" t="s">
        <v>1662</v>
      </c>
      <c r="F25" s="105" t="s">
        <v>35</v>
      </c>
      <c r="G25" s="85">
        <v>1</v>
      </c>
      <c r="H25" s="85" t="s">
        <v>40</v>
      </c>
      <c r="K25" s="85">
        <v>19</v>
      </c>
      <c r="L25" s="105" t="s">
        <v>1662</v>
      </c>
      <c r="M25" s="85" t="s">
        <v>1663</v>
      </c>
      <c r="N25" s="105" t="s">
        <v>35</v>
      </c>
      <c r="O25" s="100">
        <v>0</v>
      </c>
      <c r="P25" s="85" t="s">
        <v>224</v>
      </c>
    </row>
    <row r="26" spans="3:16" s="74" customFormat="1" x14ac:dyDescent="0.15">
      <c r="C26" s="85">
        <v>16</v>
      </c>
      <c r="D26" s="96" t="s">
        <v>1664</v>
      </c>
      <c r="E26" s="85" t="s">
        <v>1665</v>
      </c>
      <c r="F26" s="105" t="s">
        <v>35</v>
      </c>
      <c r="G26" s="85">
        <v>1</v>
      </c>
      <c r="H26" s="85" t="s">
        <v>40</v>
      </c>
      <c r="K26" s="85">
        <v>20</v>
      </c>
      <c r="L26" s="85" t="s">
        <v>1665</v>
      </c>
      <c r="M26" s="85" t="s">
        <v>1666</v>
      </c>
      <c r="N26" s="105" t="s">
        <v>35</v>
      </c>
      <c r="O26" s="100">
        <v>0</v>
      </c>
      <c r="P26" s="85" t="s">
        <v>224</v>
      </c>
    </row>
    <row r="27" spans="3:16" s="74" customFormat="1" x14ac:dyDescent="0.15">
      <c r="C27" s="85">
        <v>17</v>
      </c>
      <c r="D27" s="96" t="s">
        <v>1667</v>
      </c>
      <c r="E27" s="85" t="s">
        <v>1668</v>
      </c>
      <c r="F27" s="105" t="s">
        <v>35</v>
      </c>
      <c r="G27" s="85">
        <v>1</v>
      </c>
      <c r="H27" s="85" t="s">
        <v>40</v>
      </c>
      <c r="K27" s="85">
        <v>21</v>
      </c>
      <c r="L27" s="85" t="s">
        <v>1668</v>
      </c>
      <c r="M27" s="85" t="s">
        <v>1669</v>
      </c>
      <c r="N27" s="105" t="s">
        <v>35</v>
      </c>
      <c r="O27" s="100">
        <v>0</v>
      </c>
      <c r="P27" s="85" t="s">
        <v>224</v>
      </c>
    </row>
    <row r="28" spans="3:16" s="74" customFormat="1" x14ac:dyDescent="0.15">
      <c r="C28" s="85">
        <v>18</v>
      </c>
      <c r="D28" s="96" t="s">
        <v>1670</v>
      </c>
      <c r="E28" s="85" t="s">
        <v>1671</v>
      </c>
      <c r="F28" s="105" t="s">
        <v>35</v>
      </c>
      <c r="G28" s="85">
        <v>1</v>
      </c>
      <c r="H28" s="85" t="s">
        <v>40</v>
      </c>
      <c r="K28" s="85">
        <v>22</v>
      </c>
      <c r="L28" s="85" t="s">
        <v>1671</v>
      </c>
      <c r="M28" s="85" t="s">
        <v>1672</v>
      </c>
      <c r="N28" s="105" t="s">
        <v>35</v>
      </c>
      <c r="O28" s="100">
        <v>0</v>
      </c>
      <c r="P28" s="85" t="s">
        <v>224</v>
      </c>
    </row>
    <row r="29" spans="3:16" s="74" customFormat="1" x14ac:dyDescent="0.15">
      <c r="C29" s="85">
        <v>19</v>
      </c>
      <c r="D29" s="96" t="s">
        <v>1673</v>
      </c>
      <c r="E29" s="85" t="s">
        <v>1674</v>
      </c>
      <c r="F29" s="105" t="s">
        <v>35</v>
      </c>
      <c r="G29" s="85">
        <v>1</v>
      </c>
      <c r="H29" s="85" t="s">
        <v>40</v>
      </c>
      <c r="K29" s="85">
        <v>23</v>
      </c>
      <c r="L29" s="85" t="s">
        <v>1674</v>
      </c>
      <c r="M29" s="85" t="s">
        <v>1675</v>
      </c>
      <c r="N29" s="105" t="s">
        <v>35</v>
      </c>
      <c r="O29" s="100">
        <v>0</v>
      </c>
      <c r="P29" s="85" t="s">
        <v>224</v>
      </c>
    </row>
    <row r="30" spans="3:16" s="74" customFormat="1" x14ac:dyDescent="0.15">
      <c r="C30" s="85">
        <v>20</v>
      </c>
      <c r="D30" s="85" t="s">
        <v>1676</v>
      </c>
      <c r="E30" s="85" t="s">
        <v>1677</v>
      </c>
      <c r="F30" s="105" t="s">
        <v>252</v>
      </c>
      <c r="G30" s="95">
        <v>15</v>
      </c>
      <c r="H30" s="85" t="s">
        <v>40</v>
      </c>
      <c r="K30" s="85">
        <v>24</v>
      </c>
      <c r="L30" s="85" t="s">
        <v>1677</v>
      </c>
      <c r="M30" s="85" t="s">
        <v>1678</v>
      </c>
      <c r="N30" s="105" t="s">
        <v>1679</v>
      </c>
      <c r="O30" s="100">
        <v>0</v>
      </c>
      <c r="P30" s="85" t="s">
        <v>224</v>
      </c>
    </row>
    <row r="31" spans="3:16" s="74" customFormat="1" x14ac:dyDescent="0.15">
      <c r="C31" s="85">
        <v>21</v>
      </c>
      <c r="D31" s="85" t="s">
        <v>1680</v>
      </c>
      <c r="E31" s="106" t="s">
        <v>1681</v>
      </c>
      <c r="F31" s="105" t="s">
        <v>252</v>
      </c>
      <c r="G31" s="85">
        <v>15</v>
      </c>
      <c r="H31" s="85" t="s">
        <v>40</v>
      </c>
      <c r="K31" s="85">
        <v>25</v>
      </c>
      <c r="L31" s="106" t="s">
        <v>1681</v>
      </c>
      <c r="M31" s="85" t="s">
        <v>1682</v>
      </c>
      <c r="N31" s="105" t="s">
        <v>1683</v>
      </c>
      <c r="O31" s="100">
        <v>0</v>
      </c>
      <c r="P31" s="85" t="s">
        <v>224</v>
      </c>
    </row>
    <row r="32" spans="3:16" s="74" customFormat="1" x14ac:dyDescent="0.15">
      <c r="C32" s="85">
        <v>22</v>
      </c>
      <c r="D32" s="85" t="s">
        <v>1684</v>
      </c>
      <c r="E32" s="85" t="s">
        <v>1685</v>
      </c>
      <c r="F32" s="105" t="s">
        <v>252</v>
      </c>
      <c r="G32" s="85">
        <v>15</v>
      </c>
      <c r="H32" s="85" t="s">
        <v>40</v>
      </c>
      <c r="K32" s="85">
        <v>26</v>
      </c>
      <c r="L32" s="85" t="s">
        <v>1685</v>
      </c>
      <c r="M32" s="85" t="s">
        <v>1686</v>
      </c>
      <c r="N32" s="105" t="s">
        <v>1683</v>
      </c>
      <c r="O32" s="100">
        <v>0</v>
      </c>
      <c r="P32" s="85" t="s">
        <v>224</v>
      </c>
    </row>
    <row r="33" spans="3:16" s="74" customFormat="1" x14ac:dyDescent="0.15">
      <c r="C33" s="85">
        <v>23</v>
      </c>
      <c r="D33" s="85" t="s">
        <v>1687</v>
      </c>
      <c r="E33" s="85" t="s">
        <v>1688</v>
      </c>
      <c r="F33" s="105" t="s">
        <v>252</v>
      </c>
      <c r="G33" s="85">
        <v>15</v>
      </c>
      <c r="H33" s="85" t="s">
        <v>40</v>
      </c>
      <c r="K33" s="85">
        <v>27</v>
      </c>
      <c r="L33" s="85" t="s">
        <v>1688</v>
      </c>
      <c r="M33" s="85" t="s">
        <v>1689</v>
      </c>
      <c r="N33" s="105" t="s">
        <v>1683</v>
      </c>
      <c r="O33" s="100">
        <v>0</v>
      </c>
      <c r="P33" s="85" t="s">
        <v>224</v>
      </c>
    </row>
    <row r="34" spans="3:16" s="74" customFormat="1" x14ac:dyDescent="0.15">
      <c r="C34" s="85">
        <v>24</v>
      </c>
      <c r="D34" s="85" t="s">
        <v>1690</v>
      </c>
      <c r="E34" s="85" t="s">
        <v>1691</v>
      </c>
      <c r="F34" s="105" t="s">
        <v>252</v>
      </c>
      <c r="G34" s="85">
        <v>15</v>
      </c>
      <c r="H34" s="85" t="s">
        <v>40</v>
      </c>
      <c r="K34" s="85">
        <v>28</v>
      </c>
      <c r="L34" s="85" t="s">
        <v>1691</v>
      </c>
      <c r="M34" s="85" t="s">
        <v>1692</v>
      </c>
      <c r="N34" s="105" t="s">
        <v>1683</v>
      </c>
      <c r="O34" s="100">
        <v>0</v>
      </c>
      <c r="P34" s="85" t="s">
        <v>224</v>
      </c>
    </row>
    <row r="35" spans="3:16" s="74" customFormat="1" x14ac:dyDescent="0.15">
      <c r="C35" s="85">
        <v>29</v>
      </c>
      <c r="D35" s="85" t="s">
        <v>1693</v>
      </c>
      <c r="E35" s="85" t="s">
        <v>1694</v>
      </c>
      <c r="F35" s="105" t="s">
        <v>35</v>
      </c>
      <c r="G35" s="85">
        <v>1</v>
      </c>
      <c r="H35" s="85" t="s">
        <v>40</v>
      </c>
      <c r="K35" s="85">
        <v>29</v>
      </c>
      <c r="L35" s="85" t="s">
        <v>1694</v>
      </c>
      <c r="M35" s="85" t="s">
        <v>1695</v>
      </c>
      <c r="N35" s="105" t="s">
        <v>35</v>
      </c>
      <c r="O35" s="100">
        <v>0</v>
      </c>
      <c r="P35" s="85" t="s">
        <v>224</v>
      </c>
    </row>
    <row r="36" spans="3:16" s="74" customFormat="1" x14ac:dyDescent="0.15">
      <c r="C36" s="85">
        <v>30</v>
      </c>
      <c r="D36" s="85" t="s">
        <v>1696</v>
      </c>
      <c r="E36" s="85" t="s">
        <v>1697</v>
      </c>
      <c r="F36" s="105" t="s">
        <v>35</v>
      </c>
      <c r="G36" s="95">
        <v>1</v>
      </c>
      <c r="H36" s="85" t="s">
        <v>40</v>
      </c>
      <c r="K36" s="85">
        <v>30</v>
      </c>
      <c r="L36" s="85" t="s">
        <v>1697</v>
      </c>
      <c r="M36" s="85" t="s">
        <v>1698</v>
      </c>
      <c r="N36" s="105" t="s">
        <v>35</v>
      </c>
      <c r="O36" s="100">
        <v>0</v>
      </c>
      <c r="P36" s="85" t="s">
        <v>224</v>
      </c>
    </row>
    <row r="37" spans="3:16" s="74" customFormat="1" x14ac:dyDescent="0.15">
      <c r="C37" s="85">
        <v>31</v>
      </c>
      <c r="D37" s="85" t="s">
        <v>1699</v>
      </c>
      <c r="E37" s="105" t="s">
        <v>1700</v>
      </c>
      <c r="F37" s="105" t="s">
        <v>35</v>
      </c>
      <c r="G37" s="85">
        <v>1</v>
      </c>
      <c r="H37" s="85" t="s">
        <v>40</v>
      </c>
      <c r="K37" s="85">
        <v>31</v>
      </c>
      <c r="L37" s="105" t="s">
        <v>1700</v>
      </c>
      <c r="M37" s="85" t="s">
        <v>1701</v>
      </c>
      <c r="N37" s="105" t="s">
        <v>35</v>
      </c>
      <c r="O37" s="100">
        <v>0</v>
      </c>
      <c r="P37" s="85" t="s">
        <v>224</v>
      </c>
    </row>
    <row r="38" spans="3:16" s="74" customFormat="1" x14ac:dyDescent="0.15"/>
    <row r="39" spans="3:16" s="74" customFormat="1" x14ac:dyDescent="0.15"/>
    <row r="40" spans="3:16" s="74" customFormat="1" x14ac:dyDescent="0.15"/>
    <row r="41" spans="3:16" s="74" customFormat="1" x14ac:dyDescent="0.15"/>
    <row r="42" spans="3:16" s="74" customFormat="1" x14ac:dyDescent="0.15"/>
    <row r="43" spans="3:16" s="74" customFormat="1" x14ac:dyDescent="0.15"/>
    <row r="44" spans="3:16" s="74" customFormat="1" x14ac:dyDescent="0.15"/>
    <row r="45" spans="3:16" s="74" customFormat="1" x14ac:dyDescent="0.15"/>
    <row r="46" spans="3:16" s="74" customFormat="1" x14ac:dyDescent="0.15"/>
    <row r="47" spans="3:16" s="74" customFormat="1" x14ac:dyDescent="0.15"/>
    <row r="48" spans="3:16" s="74" customFormat="1" x14ac:dyDescent="0.15"/>
    <row r="49" s="74" customFormat="1" x14ac:dyDescent="0.15"/>
    <row r="50" s="74" customFormat="1" x14ac:dyDescent="0.15"/>
    <row r="51" s="74" customFormat="1" x14ac:dyDescent="0.15"/>
    <row r="52" s="74" customFormat="1" x14ac:dyDescent="0.15"/>
    <row r="53" s="74" customFormat="1" x14ac:dyDescent="0.15"/>
    <row r="54" s="74" customFormat="1" x14ac:dyDescent="0.15"/>
    <row r="55" s="74" customFormat="1" x14ac:dyDescent="0.15"/>
    <row r="56" s="74" customFormat="1" x14ac:dyDescent="0.15"/>
    <row r="57" s="74" customFormat="1" x14ac:dyDescent="0.15"/>
    <row r="58" s="74" customFormat="1" x14ac:dyDescent="0.15"/>
    <row r="59" s="74" customFormat="1" x14ac:dyDescent="0.15"/>
    <row r="60" s="74" customFormat="1" x14ac:dyDescent="0.15"/>
    <row r="61" s="74" customFormat="1" x14ac:dyDescent="0.15"/>
    <row r="62" s="74" customFormat="1" x14ac:dyDescent="0.15"/>
    <row r="63" s="74" customFormat="1" x14ac:dyDescent="0.15"/>
    <row r="64" s="74" customFormat="1" x14ac:dyDescent="0.15"/>
    <row r="65" s="74" customFormat="1" x14ac:dyDescent="0.15"/>
    <row r="66" s="74" customFormat="1" x14ac:dyDescent="0.15"/>
    <row r="67" s="74" customFormat="1" x14ac:dyDescent="0.15"/>
    <row r="68" s="74" customFormat="1" x14ac:dyDescent="0.15"/>
    <row r="69" s="74" customFormat="1" x14ac:dyDescent="0.15"/>
    <row r="70" s="74" customFormat="1" x14ac:dyDescent="0.15"/>
    <row r="71" s="74" customFormat="1" x14ac:dyDescent="0.15"/>
    <row r="72" s="74" customFormat="1" x14ac:dyDescent="0.15"/>
    <row r="73" s="74" customFormat="1" x14ac:dyDescent="0.15"/>
    <row r="74" s="74" customFormat="1" x14ac:dyDescent="0.15"/>
    <row r="75" s="74" customFormat="1" x14ac:dyDescent="0.15"/>
    <row r="76" s="74" customFormat="1" x14ac:dyDescent="0.15"/>
    <row r="77" s="74" customFormat="1" x14ac:dyDescent="0.15"/>
    <row r="78" s="74" customFormat="1" x14ac:dyDescent="0.15"/>
    <row r="79" s="74" customFormat="1" x14ac:dyDescent="0.15"/>
    <row r="80" s="74" customFormat="1" x14ac:dyDescent="0.15"/>
    <row r="81" s="74" customFormat="1" x14ac:dyDescent="0.15"/>
    <row r="82" s="74" customFormat="1" x14ac:dyDescent="0.15"/>
    <row r="83" s="74" customFormat="1" x14ac:dyDescent="0.15"/>
    <row r="84" s="74" customFormat="1" x14ac:dyDescent="0.15"/>
    <row r="85" s="74" customFormat="1" x14ac:dyDescent="0.15"/>
    <row r="86" s="74" customFormat="1" x14ac:dyDescent="0.15"/>
    <row r="87" s="74" customFormat="1" x14ac:dyDescent="0.15"/>
    <row r="88" s="74" customFormat="1" x14ac:dyDescent="0.15"/>
    <row r="89" s="74" customFormat="1" x14ac:dyDescent="0.15"/>
    <row r="90" s="74" customFormat="1" x14ac:dyDescent="0.15"/>
    <row r="91" s="74" customFormat="1" x14ac:dyDescent="0.15"/>
    <row r="92" s="74" customFormat="1" x14ac:dyDescent="0.15"/>
    <row r="93" s="74" customFormat="1" x14ac:dyDescent="0.15"/>
    <row r="94" s="74" customFormat="1" x14ac:dyDescent="0.15"/>
    <row r="95" s="74" customFormat="1" x14ac:dyDescent="0.15"/>
    <row r="96" s="74" customFormat="1" x14ac:dyDescent="0.15"/>
    <row r="97" s="74" customFormat="1" x14ac:dyDescent="0.15"/>
    <row r="98" s="74" customFormat="1" x14ac:dyDescent="0.15"/>
    <row r="99" s="74" customFormat="1" x14ac:dyDescent="0.15"/>
    <row r="100" s="74" customFormat="1" x14ac:dyDescent="0.15"/>
    <row r="101" s="74" customFormat="1" x14ac:dyDescent="0.15"/>
    <row r="102" s="74" customFormat="1" x14ac:dyDescent="0.15"/>
    <row r="103" s="74" customFormat="1" x14ac:dyDescent="0.15"/>
    <row r="104" s="74" customFormat="1" x14ac:dyDescent="0.15"/>
    <row r="105" s="74" customFormat="1" x14ac:dyDescent="0.15"/>
    <row r="106" s="74" customFormat="1" x14ac:dyDescent="0.15"/>
    <row r="107" s="74" customFormat="1" x14ac:dyDescent="0.15"/>
    <row r="108" s="74" customFormat="1" x14ac:dyDescent="0.15"/>
    <row r="109" s="74" customFormat="1" x14ac:dyDescent="0.15"/>
    <row r="110" s="74" customFormat="1" x14ac:dyDescent="0.15"/>
    <row r="111" s="74" customFormat="1" x14ac:dyDescent="0.15"/>
    <row r="112" s="74" customFormat="1" x14ac:dyDescent="0.15"/>
    <row r="113" s="74" customFormat="1" x14ac:dyDescent="0.15"/>
    <row r="114" s="74" customFormat="1" x14ac:dyDescent="0.15"/>
    <row r="115" s="74" customFormat="1" x14ac:dyDescent="0.15"/>
    <row r="116" s="74" customFormat="1" x14ac:dyDescent="0.15"/>
    <row r="117" s="74" customFormat="1" x14ac:dyDescent="0.15"/>
    <row r="118" s="74" customFormat="1" x14ac:dyDescent="0.15"/>
    <row r="119" s="74" customFormat="1" x14ac:dyDescent="0.15"/>
    <row r="120" s="74" customFormat="1" x14ac:dyDescent="0.15"/>
    <row r="121" s="74" customFormat="1" x14ac:dyDescent="0.15"/>
    <row r="122" s="74" customFormat="1" x14ac:dyDescent="0.15"/>
    <row r="123" s="74" customFormat="1" x14ac:dyDescent="0.15"/>
    <row r="124" s="74" customFormat="1" x14ac:dyDescent="0.15"/>
    <row r="125" s="74" customFormat="1" x14ac:dyDescent="0.15"/>
    <row r="126" s="74" customFormat="1" x14ac:dyDescent="0.15"/>
    <row r="127" s="74" customFormat="1" x14ac:dyDescent="0.15"/>
    <row r="128" s="74" customFormat="1" x14ac:dyDescent="0.15"/>
    <row r="129" s="74" customFormat="1" x14ac:dyDescent="0.15"/>
    <row r="130" s="74" customFormat="1" x14ac:dyDescent="0.15"/>
    <row r="131" s="74" customFormat="1" x14ac:dyDescent="0.15"/>
    <row r="132" s="74" customFormat="1" x14ac:dyDescent="0.15"/>
    <row r="133" s="74" customFormat="1" x14ac:dyDescent="0.15"/>
    <row r="134" s="74" customFormat="1" x14ac:dyDescent="0.15"/>
    <row r="135" s="74" customFormat="1" x14ac:dyDescent="0.15"/>
    <row r="136" s="74" customFormat="1" x14ac:dyDescent="0.15"/>
    <row r="137" s="74" customFormat="1" x14ac:dyDescent="0.15"/>
    <row r="138" s="74" customFormat="1" x14ac:dyDescent="0.15"/>
    <row r="139" s="74" customFormat="1" x14ac:dyDescent="0.15"/>
    <row r="140" s="74" customFormat="1" x14ac:dyDescent="0.15"/>
    <row r="141" s="74" customFormat="1" x14ac:dyDescent="0.15"/>
    <row r="142" s="74" customFormat="1" x14ac:dyDescent="0.15"/>
    <row r="143" s="74" customFormat="1" x14ac:dyDescent="0.15"/>
    <row r="144" s="74" customFormat="1" x14ac:dyDescent="0.15"/>
    <row r="145" s="74" customFormat="1" x14ac:dyDescent="0.15"/>
    <row r="146" s="74" customFormat="1" x14ac:dyDescent="0.15"/>
    <row r="147" s="74" customFormat="1" x14ac:dyDescent="0.15"/>
    <row r="148" s="74" customFormat="1" x14ac:dyDescent="0.15"/>
    <row r="149" s="74" customFormat="1" x14ac:dyDescent="0.15"/>
    <row r="150" s="74" customFormat="1" x14ac:dyDescent="0.15"/>
    <row r="151" s="74" customFormat="1" x14ac:dyDescent="0.15"/>
    <row r="152" s="74" customFormat="1" x14ac:dyDescent="0.15"/>
    <row r="153" s="74" customFormat="1" x14ac:dyDescent="0.15"/>
    <row r="154" s="74" customFormat="1" x14ac:dyDescent="0.15"/>
    <row r="155" s="74" customFormat="1" x14ac:dyDescent="0.15"/>
    <row r="156" s="74" customFormat="1" x14ac:dyDescent="0.15"/>
    <row r="157" s="74" customFormat="1" x14ac:dyDescent="0.15"/>
    <row r="158" s="74" customFormat="1" x14ac:dyDescent="0.15"/>
    <row r="159" s="74" customFormat="1" x14ac:dyDescent="0.15"/>
    <row r="160" s="74" customFormat="1" x14ac:dyDescent="0.15"/>
    <row r="161" s="74" customFormat="1" x14ac:dyDescent="0.15"/>
    <row r="162" s="74" customFormat="1" x14ac:dyDescent="0.15"/>
    <row r="163" s="74" customFormat="1" x14ac:dyDescent="0.15"/>
    <row r="164" s="74" customFormat="1" x14ac:dyDescent="0.15"/>
    <row r="165" s="74" customFormat="1" x14ac:dyDescent="0.15"/>
    <row r="166" s="74" customFormat="1" x14ac:dyDescent="0.15"/>
    <row r="167" s="74" customFormat="1" x14ac:dyDescent="0.15"/>
    <row r="168" s="74" customFormat="1" x14ac:dyDescent="0.15"/>
    <row r="169" s="74" customFormat="1" x14ac:dyDescent="0.15"/>
    <row r="170" s="74" customFormat="1" x14ac:dyDescent="0.15"/>
    <row r="171" s="74" customFormat="1" x14ac:dyDescent="0.15"/>
    <row r="172" s="74" customFormat="1" x14ac:dyDescent="0.15"/>
    <row r="173" s="74" customFormat="1" x14ac:dyDescent="0.15"/>
    <row r="174" s="74" customFormat="1" x14ac:dyDescent="0.15"/>
    <row r="175" s="74" customFormat="1" x14ac:dyDescent="0.15"/>
    <row r="176" s="74" customFormat="1" x14ac:dyDescent="0.15"/>
    <row r="177" s="74" customFormat="1" x14ac:dyDescent="0.15"/>
    <row r="178" s="74" customFormat="1" x14ac:dyDescent="0.15"/>
    <row r="179" s="74" customFormat="1" x14ac:dyDescent="0.15"/>
    <row r="180" s="74" customFormat="1" x14ac:dyDescent="0.15"/>
    <row r="181" s="74" customFormat="1" x14ac:dyDescent="0.15"/>
    <row r="182" s="74" customFormat="1" x14ac:dyDescent="0.15"/>
    <row r="183" s="74" customFormat="1" x14ac:dyDescent="0.15"/>
    <row r="184" s="74" customFormat="1" x14ac:dyDescent="0.15"/>
    <row r="185" s="74" customFormat="1" x14ac:dyDescent="0.15"/>
    <row r="186" s="74" customFormat="1" x14ac:dyDescent="0.15"/>
    <row r="187" s="74" customFormat="1" x14ac:dyDescent="0.15"/>
    <row r="188" s="74" customFormat="1" x14ac:dyDescent="0.15"/>
    <row r="189" s="74" customFormat="1" x14ac:dyDescent="0.15"/>
    <row r="190" s="74" customFormat="1" x14ac:dyDescent="0.15"/>
    <row r="191" s="74" customFormat="1" x14ac:dyDescent="0.15"/>
    <row r="192" s="74" customFormat="1" x14ac:dyDescent="0.15"/>
    <row r="193" s="74" customFormat="1" x14ac:dyDescent="0.15"/>
    <row r="194" s="74" customFormat="1" x14ac:dyDescent="0.15"/>
    <row r="195" s="74" customFormat="1" x14ac:dyDescent="0.15"/>
    <row r="196" s="74" customFormat="1" x14ac:dyDescent="0.15"/>
    <row r="197" s="74" customFormat="1" x14ac:dyDescent="0.15"/>
    <row r="198" s="74" customFormat="1" x14ac:dyDescent="0.15"/>
    <row r="199" s="74" customFormat="1" x14ac:dyDescent="0.15"/>
    <row r="200" s="74" customFormat="1" x14ac:dyDescent="0.15"/>
    <row r="201" s="74" customFormat="1" x14ac:dyDescent="0.15"/>
    <row r="202" s="74" customFormat="1" x14ac:dyDescent="0.15"/>
    <row r="203" s="74" customFormat="1" x14ac:dyDescent="0.15"/>
    <row r="204" s="74" customFormat="1" x14ac:dyDescent="0.15"/>
    <row r="205" s="74" customFormat="1" x14ac:dyDescent="0.15"/>
    <row r="206" s="74" customFormat="1" x14ac:dyDescent="0.15"/>
    <row r="207" s="74" customFormat="1" x14ac:dyDescent="0.15"/>
    <row r="208" s="74" customFormat="1" x14ac:dyDescent="0.15"/>
    <row r="209" s="74" customFormat="1" x14ac:dyDescent="0.15"/>
    <row r="210" s="74" customFormat="1" x14ac:dyDescent="0.15"/>
    <row r="211" s="74" customFormat="1" x14ac:dyDescent="0.15"/>
    <row r="212" s="74" customFormat="1" x14ac:dyDescent="0.15"/>
    <row r="213" s="74" customFormat="1" x14ac:dyDescent="0.15"/>
    <row r="214" s="74" customFormat="1" x14ac:dyDescent="0.15"/>
    <row r="215" s="74" customFormat="1" x14ac:dyDescent="0.15"/>
    <row r="216" s="74" customFormat="1" x14ac:dyDescent="0.15"/>
    <row r="217" s="74" customFormat="1" x14ac:dyDescent="0.15"/>
    <row r="218" s="74" customFormat="1" x14ac:dyDescent="0.15"/>
    <row r="219" s="74" customFormat="1" x14ac:dyDescent="0.15"/>
    <row r="220" s="74" customFormat="1" x14ac:dyDescent="0.15"/>
    <row r="221" s="74" customFormat="1" x14ac:dyDescent="0.15"/>
    <row r="222" s="74" customFormat="1" x14ac:dyDescent="0.15"/>
    <row r="223" s="74" customFormat="1" x14ac:dyDescent="0.15"/>
    <row r="224" s="74" customFormat="1" x14ac:dyDescent="0.15"/>
    <row r="225" s="74" customFormat="1" x14ac:dyDescent="0.15"/>
    <row r="226" s="74" customFormat="1" x14ac:dyDescent="0.15"/>
    <row r="227" s="74" customFormat="1" x14ac:dyDescent="0.15"/>
    <row r="228" s="74" customFormat="1" x14ac:dyDescent="0.15"/>
    <row r="229" s="74" customFormat="1" x14ac:dyDescent="0.15"/>
    <row r="230" s="74" customFormat="1" x14ac:dyDescent="0.15"/>
    <row r="231" s="74" customFormat="1" x14ac:dyDescent="0.15"/>
    <row r="232" s="74" customFormat="1" x14ac:dyDescent="0.15"/>
    <row r="233" s="74" customFormat="1" x14ac:dyDescent="0.15"/>
    <row r="234" s="74" customFormat="1" x14ac:dyDescent="0.15"/>
    <row r="235" s="74" customFormat="1" x14ac:dyDescent="0.15"/>
    <row r="236" s="74" customFormat="1" x14ac:dyDescent="0.15"/>
    <row r="237" s="74" customFormat="1" x14ac:dyDescent="0.15"/>
    <row r="238" s="74" customFormat="1" x14ac:dyDescent="0.15"/>
    <row r="239" s="74" customFormat="1" x14ac:dyDescent="0.15"/>
    <row r="240" s="74" customFormat="1" x14ac:dyDescent="0.15"/>
    <row r="241" s="74" customFormat="1" x14ac:dyDescent="0.15"/>
    <row r="242" s="74" customFormat="1" x14ac:dyDescent="0.15"/>
    <row r="243" s="74" customFormat="1" x14ac:dyDescent="0.15"/>
    <row r="244" s="74" customFormat="1" x14ac:dyDescent="0.15"/>
    <row r="245" s="74" customFormat="1" x14ac:dyDescent="0.15"/>
    <row r="246" s="74" customFormat="1" x14ac:dyDescent="0.15"/>
    <row r="247" s="74" customFormat="1" x14ac:dyDescent="0.15"/>
    <row r="248" s="74" customFormat="1" x14ac:dyDescent="0.15"/>
    <row r="249" s="74" customFormat="1" x14ac:dyDescent="0.15"/>
    <row r="250" s="74" customFormat="1" x14ac:dyDescent="0.15"/>
    <row r="251" s="74" customFormat="1" x14ac:dyDescent="0.15"/>
    <row r="252" s="74" customFormat="1" x14ac:dyDescent="0.15"/>
    <row r="253" s="74" customFormat="1" x14ac:dyDescent="0.15"/>
    <row r="254" s="74" customFormat="1" x14ac:dyDescent="0.15"/>
    <row r="255" s="74" customFormat="1" x14ac:dyDescent="0.15"/>
    <row r="256" s="74" customFormat="1" x14ac:dyDescent="0.15"/>
    <row r="257" s="74" customFormat="1" x14ac:dyDescent="0.15"/>
    <row r="258" s="74" customFormat="1" x14ac:dyDescent="0.15"/>
    <row r="259" s="74" customFormat="1" x14ac:dyDescent="0.15"/>
    <row r="260" s="74" customFormat="1" x14ac:dyDescent="0.15"/>
    <row r="261" s="74" customFormat="1" x14ac:dyDescent="0.15"/>
    <row r="262" s="74" customFormat="1" x14ac:dyDescent="0.15"/>
    <row r="263" s="74" customFormat="1" x14ac:dyDescent="0.15"/>
    <row r="264" s="74" customFormat="1" x14ac:dyDescent="0.15"/>
    <row r="265" s="74" customFormat="1" x14ac:dyDescent="0.15"/>
    <row r="266" s="74" customFormat="1" x14ac:dyDescent="0.15"/>
    <row r="267" s="74" customFormat="1" x14ac:dyDescent="0.15"/>
    <row r="268" s="74" customFormat="1" x14ac:dyDescent="0.15"/>
    <row r="269" s="74" customFormat="1" x14ac:dyDescent="0.15"/>
    <row r="270" s="74" customFormat="1" x14ac:dyDescent="0.15"/>
    <row r="271" s="74" customFormat="1" x14ac:dyDescent="0.15"/>
    <row r="272" s="74" customFormat="1" x14ac:dyDescent="0.15"/>
    <row r="273" s="74" customFormat="1" x14ac:dyDescent="0.15"/>
    <row r="274" s="74" customFormat="1" x14ac:dyDescent="0.15"/>
    <row r="275" s="74" customFormat="1" x14ac:dyDescent="0.15"/>
    <row r="276" s="74" customFormat="1" x14ac:dyDescent="0.15"/>
    <row r="277" s="74" customFormat="1" x14ac:dyDescent="0.15"/>
    <row r="278" s="74" customFormat="1" x14ac:dyDescent="0.15"/>
    <row r="279" s="74" customFormat="1" x14ac:dyDescent="0.15"/>
    <row r="280" s="74" customFormat="1" x14ac:dyDescent="0.15"/>
    <row r="281" s="74" customFormat="1" x14ac:dyDescent="0.15"/>
    <row r="282" s="74" customFormat="1" x14ac:dyDescent="0.15"/>
    <row r="283" s="74" customFormat="1" x14ac:dyDescent="0.15"/>
    <row r="284" s="74" customFormat="1" x14ac:dyDescent="0.15"/>
    <row r="285" s="74" customFormat="1" x14ac:dyDescent="0.15"/>
    <row r="286" s="74" customFormat="1" x14ac:dyDescent="0.15"/>
    <row r="287" s="74" customFormat="1" x14ac:dyDescent="0.15"/>
    <row r="288" s="74" customFormat="1" x14ac:dyDescent="0.15"/>
    <row r="289" s="74" customFormat="1" x14ac:dyDescent="0.15"/>
    <row r="290" s="74" customFormat="1" x14ac:dyDescent="0.15"/>
    <row r="291" s="74" customFormat="1" x14ac:dyDescent="0.15"/>
    <row r="292" s="74" customFormat="1" x14ac:dyDescent="0.15"/>
    <row r="293" s="74" customFormat="1" x14ac:dyDescent="0.15"/>
    <row r="294" s="74" customFormat="1" x14ac:dyDescent="0.15"/>
    <row r="295" s="74" customFormat="1" x14ac:dyDescent="0.15"/>
    <row r="296" s="74" customFormat="1" x14ac:dyDescent="0.15"/>
    <row r="297" s="74" customFormat="1" x14ac:dyDescent="0.15"/>
    <row r="298" s="74" customFormat="1" x14ac:dyDescent="0.15"/>
    <row r="299" s="74" customFormat="1" x14ac:dyDescent="0.15"/>
    <row r="300" s="74" customFormat="1" x14ac:dyDescent="0.15"/>
    <row r="301" s="74" customFormat="1" x14ac:dyDescent="0.15"/>
    <row r="302" s="74" customFormat="1" x14ac:dyDescent="0.15"/>
    <row r="303" s="74" customFormat="1" x14ac:dyDescent="0.15"/>
    <row r="304" s="74" customFormat="1" x14ac:dyDescent="0.15"/>
    <row r="305" s="74" customFormat="1" x14ac:dyDescent="0.15"/>
    <row r="306" s="74" customFormat="1" x14ac:dyDescent="0.15"/>
    <row r="307" s="74" customFormat="1" x14ac:dyDescent="0.15"/>
    <row r="308" s="74" customFormat="1" x14ac:dyDescent="0.15"/>
    <row r="309" s="74" customFormat="1" x14ac:dyDescent="0.15"/>
    <row r="310" s="74" customFormat="1" x14ac:dyDescent="0.15"/>
    <row r="311" s="74" customFormat="1" x14ac:dyDescent="0.15"/>
    <row r="312" s="74" customFormat="1" x14ac:dyDescent="0.15"/>
    <row r="313" s="74" customFormat="1" x14ac:dyDescent="0.15"/>
    <row r="314" s="74" customFormat="1" x14ac:dyDescent="0.15"/>
    <row r="315" s="74" customFormat="1" x14ac:dyDescent="0.15"/>
    <row r="316" s="74" customFormat="1" x14ac:dyDescent="0.15"/>
    <row r="317" s="74" customFormat="1" x14ac:dyDescent="0.15"/>
    <row r="318" s="74" customFormat="1" x14ac:dyDescent="0.15"/>
    <row r="319" s="74" customFormat="1" x14ac:dyDescent="0.15"/>
    <row r="320" s="74" customFormat="1" x14ac:dyDescent="0.15"/>
    <row r="321" s="74" customFormat="1" x14ac:dyDescent="0.15"/>
    <row r="322" s="74" customFormat="1" x14ac:dyDescent="0.15"/>
    <row r="323" s="74" customFormat="1" x14ac:dyDescent="0.15"/>
    <row r="324" s="74" customFormat="1" x14ac:dyDescent="0.15"/>
    <row r="325" s="74" customFormat="1" x14ac:dyDescent="0.15"/>
    <row r="326" s="74" customFormat="1" x14ac:dyDescent="0.15"/>
    <row r="327" s="74" customFormat="1" x14ac:dyDescent="0.15"/>
    <row r="328" s="74" customFormat="1" x14ac:dyDescent="0.15"/>
    <row r="329" s="74" customFormat="1" x14ac:dyDescent="0.15"/>
    <row r="330" s="74" customFormat="1" x14ac:dyDescent="0.15"/>
    <row r="331" s="74" customFormat="1" x14ac:dyDescent="0.15"/>
    <row r="332" s="74" customFormat="1" x14ac:dyDescent="0.15"/>
    <row r="333" s="74" customFormat="1" x14ac:dyDescent="0.15"/>
    <row r="334" s="74" customFormat="1" x14ac:dyDescent="0.15"/>
    <row r="335" s="74" customFormat="1" x14ac:dyDescent="0.15"/>
    <row r="336" s="74" customFormat="1" x14ac:dyDescent="0.15"/>
    <row r="337" s="74" customFormat="1" x14ac:dyDescent="0.15"/>
    <row r="338" s="74" customFormat="1" x14ac:dyDescent="0.15"/>
    <row r="339" s="74" customFormat="1" x14ac:dyDescent="0.15"/>
    <row r="340" s="74" customFormat="1" x14ac:dyDescent="0.15"/>
    <row r="341" s="74" customFormat="1" x14ac:dyDescent="0.15"/>
    <row r="342" s="74" customFormat="1" x14ac:dyDescent="0.15"/>
    <row r="343" s="74" customFormat="1" x14ac:dyDescent="0.15"/>
    <row r="344" s="74" customFormat="1" x14ac:dyDescent="0.15"/>
    <row r="345" s="74" customFormat="1" x14ac:dyDescent="0.15"/>
    <row r="346" s="74" customFormat="1" x14ac:dyDescent="0.15"/>
    <row r="347" s="74" customFormat="1" x14ac:dyDescent="0.15"/>
    <row r="348" s="74" customFormat="1" x14ac:dyDescent="0.15"/>
    <row r="349" s="74" customFormat="1" x14ac:dyDescent="0.15"/>
    <row r="350" s="74" customFormat="1" x14ac:dyDescent="0.15"/>
    <row r="351" s="74" customFormat="1" x14ac:dyDescent="0.15"/>
    <row r="352" s="74" customFormat="1" x14ac:dyDescent="0.15"/>
    <row r="353" s="74" customFormat="1" x14ac:dyDescent="0.15"/>
    <row r="354" s="74" customFormat="1" x14ac:dyDescent="0.15"/>
    <row r="355" s="74" customFormat="1" x14ac:dyDescent="0.15"/>
    <row r="356" s="74" customFormat="1" x14ac:dyDescent="0.15"/>
    <row r="357" s="74" customFormat="1" x14ac:dyDescent="0.15"/>
    <row r="358" s="74" customFormat="1" x14ac:dyDescent="0.15"/>
    <row r="359" s="74" customFormat="1" x14ac:dyDescent="0.15"/>
    <row r="360" s="74" customFormat="1" x14ac:dyDescent="0.15"/>
    <row r="361" s="74" customFormat="1" x14ac:dyDescent="0.15"/>
    <row r="362" s="74" customFormat="1" x14ac:dyDescent="0.15"/>
    <row r="363" s="74" customFormat="1" x14ac:dyDescent="0.15"/>
    <row r="364" s="74" customFormat="1" x14ac:dyDescent="0.15"/>
    <row r="365" s="74" customFormat="1" x14ac:dyDescent="0.15"/>
    <row r="366" s="74" customFormat="1" x14ac:dyDescent="0.15"/>
    <row r="367" s="74" customFormat="1" x14ac:dyDescent="0.15"/>
    <row r="368" s="74" customFormat="1" x14ac:dyDescent="0.15"/>
    <row r="369" s="74" customFormat="1" x14ac:dyDescent="0.15"/>
    <row r="370" s="74" customFormat="1" x14ac:dyDescent="0.15"/>
    <row r="371" s="74" customFormat="1" x14ac:dyDescent="0.15"/>
    <row r="372" s="74" customFormat="1" x14ac:dyDescent="0.15"/>
    <row r="373" s="74" customFormat="1" x14ac:dyDescent="0.15"/>
    <row r="374" s="74" customFormat="1" x14ac:dyDescent="0.15"/>
    <row r="375" s="74" customFormat="1" x14ac:dyDescent="0.15"/>
    <row r="376" s="74" customFormat="1" x14ac:dyDescent="0.15"/>
    <row r="377" s="74" customFormat="1" x14ac:dyDescent="0.15"/>
    <row r="378" s="74" customFormat="1" x14ac:dyDescent="0.15"/>
    <row r="379" s="74" customFormat="1" x14ac:dyDescent="0.15"/>
    <row r="380" s="74" customFormat="1" x14ac:dyDescent="0.15"/>
    <row r="381" s="74" customFormat="1" x14ac:dyDescent="0.15"/>
    <row r="382" s="74" customFormat="1" x14ac:dyDescent="0.15"/>
    <row r="383" s="74" customFormat="1" x14ac:dyDescent="0.15"/>
    <row r="384" s="74" customFormat="1" x14ac:dyDescent="0.15"/>
    <row r="385" s="74" customFormat="1" x14ac:dyDescent="0.15"/>
    <row r="386" s="74" customFormat="1" x14ac:dyDescent="0.15"/>
    <row r="387" s="74" customFormat="1" x14ac:dyDescent="0.15"/>
    <row r="388" s="74" customFormat="1" x14ac:dyDescent="0.15"/>
    <row r="389" s="74" customFormat="1" x14ac:dyDescent="0.15"/>
    <row r="390" s="74" customFormat="1" x14ac:dyDescent="0.15"/>
    <row r="391" s="74" customFormat="1" x14ac:dyDescent="0.15"/>
    <row r="392" s="74" customFormat="1" x14ac:dyDescent="0.15"/>
    <row r="393" s="74" customFormat="1" x14ac:dyDescent="0.15"/>
    <row r="394" s="74" customFormat="1" x14ac:dyDescent="0.15"/>
    <row r="395" s="74" customFormat="1" x14ac:dyDescent="0.15"/>
    <row r="396" s="74" customFormat="1" x14ac:dyDescent="0.15"/>
    <row r="397" s="74" customFormat="1" x14ac:dyDescent="0.15"/>
    <row r="398" s="74" customFormat="1" x14ac:dyDescent="0.15"/>
    <row r="399" s="74" customFormat="1" x14ac:dyDescent="0.15"/>
    <row r="400" s="74" customFormat="1" x14ac:dyDescent="0.15"/>
    <row r="401" s="74" customFormat="1" x14ac:dyDescent="0.15"/>
    <row r="402" s="74" customFormat="1" x14ac:dyDescent="0.15"/>
    <row r="403" s="74" customFormat="1" x14ac:dyDescent="0.15"/>
    <row r="404" s="74" customFormat="1" x14ac:dyDescent="0.15"/>
    <row r="405" s="74" customFormat="1" x14ac:dyDescent="0.15"/>
    <row r="406" s="74" customFormat="1" x14ac:dyDescent="0.15"/>
    <row r="407" s="74" customFormat="1" x14ac:dyDescent="0.15"/>
    <row r="408" s="74" customFormat="1" x14ac:dyDescent="0.15"/>
    <row r="409" s="74" customFormat="1" x14ac:dyDescent="0.15"/>
    <row r="410" s="74" customFormat="1" x14ac:dyDescent="0.15"/>
    <row r="411" s="74" customFormat="1" x14ac:dyDescent="0.15"/>
    <row r="412" s="74" customFormat="1" x14ac:dyDescent="0.15"/>
    <row r="413" s="74" customFormat="1" x14ac:dyDescent="0.15"/>
    <row r="414" s="74" customFormat="1" x14ac:dyDescent="0.15"/>
    <row r="415" s="74" customFormat="1" x14ac:dyDescent="0.15"/>
    <row r="416" s="74" customFormat="1" x14ac:dyDescent="0.15"/>
    <row r="417" s="74" customFormat="1" x14ac:dyDescent="0.15"/>
    <row r="418" s="74" customFormat="1" x14ac:dyDescent="0.15"/>
    <row r="419" s="74" customFormat="1" x14ac:dyDescent="0.15"/>
    <row r="420" s="74" customFormat="1" x14ac:dyDescent="0.15"/>
    <row r="421" s="74" customFormat="1" x14ac:dyDescent="0.15"/>
    <row r="422" s="74" customFormat="1" x14ac:dyDescent="0.15"/>
    <row r="423" s="74" customFormat="1" x14ac:dyDescent="0.15"/>
    <row r="424" s="74" customFormat="1" x14ac:dyDescent="0.15"/>
    <row r="425" s="74" customFormat="1" x14ac:dyDescent="0.15"/>
    <row r="426" s="74" customFormat="1" x14ac:dyDescent="0.15"/>
    <row r="427" s="74" customFormat="1" x14ac:dyDescent="0.15"/>
    <row r="428" s="74" customFormat="1" x14ac:dyDescent="0.15"/>
    <row r="429" s="74" customFormat="1" x14ac:dyDescent="0.15"/>
    <row r="430" s="74" customFormat="1" x14ac:dyDescent="0.15"/>
    <row r="431" s="74" customFormat="1" x14ac:dyDescent="0.15"/>
    <row r="432" s="74" customFormat="1" x14ac:dyDescent="0.15"/>
    <row r="433" s="74" customFormat="1" x14ac:dyDescent="0.15"/>
    <row r="434" s="74" customFormat="1" x14ac:dyDescent="0.15"/>
    <row r="435" s="74" customFormat="1" x14ac:dyDescent="0.15"/>
    <row r="436" s="74" customFormat="1" x14ac:dyDescent="0.15"/>
    <row r="437" s="74" customFormat="1" x14ac:dyDescent="0.15"/>
    <row r="438" s="74" customFormat="1" x14ac:dyDescent="0.15"/>
    <row r="439" s="74" customFormat="1" x14ac:dyDescent="0.15"/>
    <row r="440" s="74" customFormat="1" x14ac:dyDescent="0.15"/>
    <row r="441" s="74" customFormat="1" x14ac:dyDescent="0.15"/>
    <row r="442" s="74" customFormat="1" x14ac:dyDescent="0.15"/>
    <row r="443" s="74" customFormat="1" x14ac:dyDescent="0.15"/>
    <row r="444" s="74" customFormat="1" x14ac:dyDescent="0.15"/>
    <row r="445" s="74" customFormat="1" x14ac:dyDescent="0.15"/>
    <row r="446" s="74" customFormat="1" x14ac:dyDescent="0.15"/>
    <row r="447" s="74" customFormat="1" x14ac:dyDescent="0.15"/>
    <row r="448" s="74" customFormat="1" x14ac:dyDescent="0.15"/>
    <row r="449" s="74" customFormat="1" x14ac:dyDescent="0.15"/>
    <row r="450" s="74" customFormat="1" x14ac:dyDescent="0.15"/>
    <row r="451" s="74" customFormat="1" x14ac:dyDescent="0.15"/>
    <row r="452" s="74" customFormat="1" x14ac:dyDescent="0.15"/>
    <row r="453" s="74" customFormat="1" x14ac:dyDescent="0.15"/>
    <row r="454" s="74" customFormat="1" x14ac:dyDescent="0.15"/>
    <row r="455" s="74" customFormat="1" x14ac:dyDescent="0.15"/>
    <row r="456" s="74" customFormat="1" x14ac:dyDescent="0.15"/>
    <row r="457" s="74" customFormat="1" x14ac:dyDescent="0.15"/>
    <row r="458" s="74" customFormat="1" x14ac:dyDescent="0.15"/>
    <row r="459" s="74" customFormat="1" x14ac:dyDescent="0.15"/>
    <row r="460" s="74" customFormat="1" x14ac:dyDescent="0.15"/>
    <row r="461" s="74" customFormat="1" x14ac:dyDescent="0.15"/>
    <row r="462" s="74" customFormat="1" x14ac:dyDescent="0.15"/>
    <row r="463" s="74" customFormat="1" x14ac:dyDescent="0.15"/>
    <row r="464" s="74" customFormat="1" x14ac:dyDescent="0.15"/>
    <row r="465" s="74" customFormat="1" x14ac:dyDescent="0.15"/>
    <row r="466" s="74" customFormat="1" x14ac:dyDescent="0.15"/>
    <row r="467" s="74" customFormat="1" x14ac:dyDescent="0.15"/>
    <row r="468" s="74" customFormat="1" x14ac:dyDescent="0.15"/>
    <row r="469" s="74" customFormat="1" x14ac:dyDescent="0.15"/>
    <row r="470" s="74" customFormat="1" x14ac:dyDescent="0.15"/>
    <row r="471" s="74" customFormat="1" x14ac:dyDescent="0.15"/>
    <row r="472" s="74" customFormat="1" x14ac:dyDescent="0.15"/>
    <row r="473" s="74" customFormat="1" x14ac:dyDescent="0.15"/>
    <row r="474" s="74" customFormat="1" x14ac:dyDescent="0.15"/>
    <row r="475" s="74" customFormat="1" x14ac:dyDescent="0.15"/>
    <row r="476" s="74" customFormat="1" x14ac:dyDescent="0.15"/>
    <row r="477" s="74" customFormat="1" x14ac:dyDescent="0.15"/>
    <row r="478" s="74" customFormat="1" x14ac:dyDescent="0.15"/>
    <row r="479" s="74" customFormat="1" x14ac:dyDescent="0.15"/>
    <row r="480" s="74" customFormat="1" x14ac:dyDescent="0.15"/>
    <row r="481" s="74" customFormat="1" x14ac:dyDescent="0.15"/>
    <row r="482" s="74" customFormat="1" x14ac:dyDescent="0.15"/>
    <row r="483" s="74" customFormat="1" x14ac:dyDescent="0.15"/>
    <row r="484" s="74" customFormat="1" x14ac:dyDescent="0.15"/>
    <row r="485" s="74" customFormat="1" x14ac:dyDescent="0.15"/>
    <row r="486" s="74" customFormat="1" x14ac:dyDescent="0.15"/>
  </sheetData>
  <phoneticPr fontId="1"/>
  <hyperlinks>
    <hyperlink ref="C3" location="テーブルマッピング!A1" display="一覧へ戻る" xr:uid="{E776B799-4622-49B5-BB4A-3111E9886334}"/>
  </hyperlinks>
  <pageMargins left="0.70866141732283472" right="0.70866141732283472" top="0.74803149606299213" bottom="0.74803149606299213" header="0.31496062992125984" footer="0.31496062992125984"/>
  <pageSetup paperSize="9" scale="70" fitToHeight="0" orientation="landscape" verticalDpi="30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7"/>
  <dimension ref="B2:T130"/>
  <sheetViews>
    <sheetView view="pageBreakPreview" zoomScale="85" zoomScaleSheetLayoutView="85" workbookViewId="0"/>
  </sheetViews>
  <sheetFormatPr defaultColWidth="9" defaultRowHeight="13.5" x14ac:dyDescent="0.15"/>
  <cols>
    <col min="1" max="1" width="3.5" style="18" customWidth="1"/>
    <col min="2" max="2" width="4.5" style="18" bestFit="1" customWidth="1"/>
    <col min="3" max="3" width="12.875" style="18" bestFit="1" customWidth="1"/>
    <col min="4" max="4" width="22" style="18" bestFit="1" customWidth="1"/>
    <col min="5" max="5" width="7.875" style="18" bestFit="1" customWidth="1"/>
    <col min="6" max="6" width="5" style="18" bestFit="1" customWidth="1"/>
    <col min="7" max="7" width="11.875" style="18" customWidth="1"/>
    <col min="8" max="8" width="4.875" style="18" customWidth="1"/>
    <col min="9" max="9" width="3.625" style="18" bestFit="1" customWidth="1"/>
    <col min="10" max="10" width="10.375" style="18" bestFit="1" customWidth="1"/>
    <col min="11" max="11" width="22" style="18" bestFit="1" customWidth="1"/>
    <col min="12" max="12" width="8.625" style="18" bestFit="1" customWidth="1"/>
    <col min="13" max="13" width="5.375" style="18" bestFit="1" customWidth="1"/>
    <col min="14" max="14" width="5.125" style="18" customWidth="1"/>
    <col min="15" max="15" width="3.5" style="18" bestFit="1" customWidth="1"/>
    <col min="16" max="16" width="18.625" style="18" bestFit="1" customWidth="1"/>
    <col min="17" max="17" width="24" style="18" bestFit="1" customWidth="1"/>
    <col min="18" max="18" width="10.125" style="18" bestFit="1" customWidth="1"/>
    <col min="19" max="20" width="3.125" style="18" bestFit="1" customWidth="1"/>
    <col min="21" max="16384" width="9" style="18"/>
  </cols>
  <sheetData>
    <row r="2" spans="2:20" x14ac:dyDescent="0.15">
      <c r="B2" s="5" t="s">
        <v>647</v>
      </c>
    </row>
    <row r="4" spans="2:20" x14ac:dyDescent="0.15">
      <c r="B4" s="18" t="s">
        <v>631</v>
      </c>
      <c r="O4" s="42"/>
      <c r="P4" s="38" t="s">
        <v>638</v>
      </c>
      <c r="Q4" s="38"/>
      <c r="R4" s="39"/>
    </row>
    <row r="5" spans="2:20" x14ac:dyDescent="0.15">
      <c r="B5" s="18" t="s">
        <v>633</v>
      </c>
      <c r="O5" s="36"/>
      <c r="P5" s="38" t="s">
        <v>639</v>
      </c>
      <c r="Q5" s="38"/>
      <c r="R5" s="39"/>
    </row>
    <row r="6" spans="2:20" x14ac:dyDescent="0.15">
      <c r="B6" s="18" t="s">
        <v>632</v>
      </c>
      <c r="O6" s="43"/>
      <c r="P6" s="38" t="s">
        <v>637</v>
      </c>
      <c r="Q6" s="38"/>
      <c r="R6" s="39"/>
    </row>
    <row r="7" spans="2:20" x14ac:dyDescent="0.15">
      <c r="B7" s="18" t="s">
        <v>644</v>
      </c>
      <c r="O7" s="44"/>
      <c r="P7" s="38" t="s">
        <v>640</v>
      </c>
      <c r="Q7" s="38"/>
      <c r="R7" s="39"/>
    </row>
    <row r="8" spans="2:20" x14ac:dyDescent="0.15">
      <c r="B8" s="18" t="s">
        <v>634</v>
      </c>
      <c r="O8" s="34"/>
      <c r="P8" s="38" t="s">
        <v>641</v>
      </c>
      <c r="Q8" s="38"/>
      <c r="R8" s="39"/>
    </row>
    <row r="9" spans="2:20" x14ac:dyDescent="0.15">
      <c r="B9" s="18" t="s">
        <v>635</v>
      </c>
      <c r="O9" s="30"/>
      <c r="P9" s="38" t="s">
        <v>642</v>
      </c>
      <c r="Q9" s="38"/>
      <c r="R9" s="39"/>
    </row>
    <row r="12" spans="2:20" x14ac:dyDescent="0.15">
      <c r="B12" s="18" t="s">
        <v>645</v>
      </c>
      <c r="I12" s="18" t="s">
        <v>646</v>
      </c>
      <c r="P12" s="18" t="s">
        <v>630</v>
      </c>
    </row>
    <row r="13" spans="2:20" x14ac:dyDescent="0.15">
      <c r="B13" s="24">
        <v>1</v>
      </c>
      <c r="C13" s="24" t="s">
        <v>133</v>
      </c>
      <c r="D13" s="29" t="s">
        <v>134</v>
      </c>
      <c r="E13" s="24" t="s">
        <v>39</v>
      </c>
      <c r="F13" s="24">
        <v>13</v>
      </c>
      <c r="G13" s="24" t="s">
        <v>303</v>
      </c>
      <c r="H13" s="40"/>
      <c r="I13" s="45">
        <v>1</v>
      </c>
      <c r="J13" s="28" t="s">
        <v>133</v>
      </c>
      <c r="K13" s="34" t="s">
        <v>134</v>
      </c>
      <c r="L13" s="26" t="s">
        <v>39</v>
      </c>
      <c r="M13" s="27">
        <v>13</v>
      </c>
      <c r="N13" s="46"/>
      <c r="O13" s="24">
        <v>1</v>
      </c>
      <c r="P13" s="42" t="s">
        <v>134</v>
      </c>
      <c r="Q13" s="44" t="s">
        <v>206</v>
      </c>
      <c r="R13" s="47" t="s">
        <v>252</v>
      </c>
      <c r="S13" s="48" t="s">
        <v>607</v>
      </c>
      <c r="T13" s="48" t="s">
        <v>608</v>
      </c>
    </row>
    <row r="14" spans="2:20" x14ac:dyDescent="0.15">
      <c r="B14" s="24">
        <v>2</v>
      </c>
      <c r="C14" s="24" t="s">
        <v>304</v>
      </c>
      <c r="D14" s="30" t="s">
        <v>305</v>
      </c>
      <c r="E14" s="24" t="s">
        <v>306</v>
      </c>
      <c r="F14" s="24"/>
      <c r="G14" s="24" t="s">
        <v>303</v>
      </c>
      <c r="H14" s="40"/>
      <c r="I14" s="45">
        <v>2</v>
      </c>
      <c r="J14" s="28" t="s">
        <v>304</v>
      </c>
      <c r="K14" s="35" t="s">
        <v>305</v>
      </c>
      <c r="L14" s="26" t="s">
        <v>306</v>
      </c>
      <c r="M14" s="27"/>
      <c r="N14" s="46"/>
      <c r="O14" s="24">
        <v>2</v>
      </c>
      <c r="P14" s="49" t="s">
        <v>530</v>
      </c>
      <c r="Q14" s="49" t="s">
        <v>531</v>
      </c>
      <c r="R14" s="49" t="s">
        <v>252</v>
      </c>
      <c r="S14" s="50" t="s">
        <v>609</v>
      </c>
      <c r="T14" s="51" t="s">
        <v>608</v>
      </c>
    </row>
    <row r="15" spans="2:20" x14ac:dyDescent="0.15">
      <c r="B15" s="24">
        <v>3</v>
      </c>
      <c r="C15" s="24" t="s">
        <v>307</v>
      </c>
      <c r="D15" s="30" t="s">
        <v>308</v>
      </c>
      <c r="E15" s="24" t="s">
        <v>39</v>
      </c>
      <c r="F15" s="24">
        <v>30</v>
      </c>
      <c r="G15" s="24" t="s">
        <v>303</v>
      </c>
      <c r="H15" s="40"/>
      <c r="I15" s="45">
        <v>3</v>
      </c>
      <c r="J15" s="28" t="s">
        <v>307</v>
      </c>
      <c r="K15" s="35" t="s">
        <v>308</v>
      </c>
      <c r="L15" s="26" t="s">
        <v>39</v>
      </c>
      <c r="M15" s="27">
        <v>30</v>
      </c>
      <c r="N15" s="46"/>
      <c r="O15" s="24">
        <v>3</v>
      </c>
      <c r="P15" s="49" t="s">
        <v>532</v>
      </c>
      <c r="Q15" s="49" t="s">
        <v>533</v>
      </c>
      <c r="R15" s="49" t="s">
        <v>252</v>
      </c>
      <c r="S15" s="50" t="s">
        <v>609</v>
      </c>
      <c r="T15" s="51" t="s">
        <v>608</v>
      </c>
    </row>
    <row r="16" spans="2:20" x14ac:dyDescent="0.15">
      <c r="B16" s="24">
        <v>4</v>
      </c>
      <c r="C16" s="24" t="s">
        <v>309</v>
      </c>
      <c r="D16" s="30" t="s">
        <v>310</v>
      </c>
      <c r="E16" s="24" t="s">
        <v>39</v>
      </c>
      <c r="F16" s="24">
        <v>60</v>
      </c>
      <c r="G16" s="24" t="s">
        <v>303</v>
      </c>
      <c r="H16" s="40"/>
      <c r="I16" s="45">
        <v>4</v>
      </c>
      <c r="J16" s="28" t="s">
        <v>309</v>
      </c>
      <c r="K16" s="35" t="s">
        <v>310</v>
      </c>
      <c r="L16" s="26" t="s">
        <v>39</v>
      </c>
      <c r="M16" s="27">
        <v>60</v>
      </c>
      <c r="N16" s="46"/>
      <c r="O16" s="24">
        <v>4</v>
      </c>
      <c r="P16" s="42" t="s">
        <v>315</v>
      </c>
      <c r="Q16" s="47" t="s">
        <v>534</v>
      </c>
      <c r="R16" s="47" t="s">
        <v>252</v>
      </c>
      <c r="S16" s="48" t="s">
        <v>609</v>
      </c>
      <c r="T16" s="48" t="s">
        <v>608</v>
      </c>
    </row>
    <row r="17" spans="2:20" x14ac:dyDescent="0.15">
      <c r="B17" s="24">
        <v>5</v>
      </c>
      <c r="C17" s="24" t="s">
        <v>47</v>
      </c>
      <c r="D17" s="30" t="s">
        <v>311</v>
      </c>
      <c r="E17" s="24" t="s">
        <v>39</v>
      </c>
      <c r="F17" s="24">
        <v>10</v>
      </c>
      <c r="G17" s="24" t="s">
        <v>303</v>
      </c>
      <c r="H17" s="40"/>
      <c r="I17" s="45">
        <v>5</v>
      </c>
      <c r="J17" s="28" t="s">
        <v>47</v>
      </c>
      <c r="K17" s="35" t="s">
        <v>311</v>
      </c>
      <c r="L17" s="26" t="s">
        <v>39</v>
      </c>
      <c r="M17" s="27">
        <v>10</v>
      </c>
      <c r="N17" s="46"/>
      <c r="O17" s="24">
        <v>5</v>
      </c>
      <c r="P17" s="42" t="s">
        <v>317</v>
      </c>
      <c r="Q17" s="47" t="s">
        <v>535</v>
      </c>
      <c r="R17" s="47" t="s">
        <v>252</v>
      </c>
      <c r="S17" s="48" t="s">
        <v>609</v>
      </c>
      <c r="T17" s="48" t="s">
        <v>608</v>
      </c>
    </row>
    <row r="18" spans="2:20" x14ac:dyDescent="0.15">
      <c r="B18" s="24">
        <v>6</v>
      </c>
      <c r="C18" s="24" t="s">
        <v>312</v>
      </c>
      <c r="D18" s="30" t="s">
        <v>313</v>
      </c>
      <c r="E18" s="24" t="s">
        <v>35</v>
      </c>
      <c r="F18" s="24"/>
      <c r="G18" s="24" t="s">
        <v>303</v>
      </c>
      <c r="H18" s="40"/>
      <c r="I18" s="45">
        <v>6</v>
      </c>
      <c r="J18" s="28" t="s">
        <v>312</v>
      </c>
      <c r="K18" s="35" t="s">
        <v>313</v>
      </c>
      <c r="L18" s="26" t="s">
        <v>35</v>
      </c>
      <c r="M18" s="27"/>
      <c r="N18" s="46"/>
      <c r="O18" s="24">
        <v>6</v>
      </c>
      <c r="P18" s="42" t="s">
        <v>319</v>
      </c>
      <c r="Q18" s="47" t="s">
        <v>536</v>
      </c>
      <c r="R18" s="47" t="s">
        <v>252</v>
      </c>
      <c r="S18" s="48" t="s">
        <v>609</v>
      </c>
      <c r="T18" s="48" t="s">
        <v>608</v>
      </c>
    </row>
    <row r="19" spans="2:20" x14ac:dyDescent="0.15">
      <c r="B19" s="24">
        <v>7</v>
      </c>
      <c r="C19" s="24" t="s">
        <v>314</v>
      </c>
      <c r="D19" s="29" t="s">
        <v>315</v>
      </c>
      <c r="E19" s="24" t="s">
        <v>39</v>
      </c>
      <c r="F19" s="24">
        <v>7</v>
      </c>
      <c r="G19" s="24" t="s">
        <v>303</v>
      </c>
      <c r="H19" s="40"/>
      <c r="I19" s="45">
        <v>7</v>
      </c>
      <c r="J19" s="28" t="s">
        <v>709</v>
      </c>
      <c r="K19" s="34" t="s">
        <v>710</v>
      </c>
      <c r="L19" s="26" t="s">
        <v>35</v>
      </c>
      <c r="M19" s="27"/>
      <c r="N19" s="46"/>
      <c r="O19" s="24">
        <v>7</v>
      </c>
      <c r="P19" s="42" t="s">
        <v>321</v>
      </c>
      <c r="Q19" s="47" t="s">
        <v>537</v>
      </c>
      <c r="R19" s="47" t="s">
        <v>252</v>
      </c>
      <c r="S19" s="48" t="s">
        <v>609</v>
      </c>
      <c r="T19" s="48" t="s">
        <v>608</v>
      </c>
    </row>
    <row r="20" spans="2:20" x14ac:dyDescent="0.15">
      <c r="B20" s="24">
        <v>8</v>
      </c>
      <c r="C20" s="24" t="s">
        <v>316</v>
      </c>
      <c r="D20" s="29" t="s">
        <v>317</v>
      </c>
      <c r="E20" s="24" t="s">
        <v>39</v>
      </c>
      <c r="F20" s="24">
        <v>60</v>
      </c>
      <c r="G20" s="24" t="s">
        <v>303</v>
      </c>
      <c r="H20" s="40"/>
      <c r="I20" s="45">
        <v>8</v>
      </c>
      <c r="J20" s="28" t="s">
        <v>611</v>
      </c>
      <c r="K20" s="36" t="s">
        <v>612</v>
      </c>
      <c r="L20" s="26" t="s">
        <v>39</v>
      </c>
      <c r="M20" s="27">
        <v>4</v>
      </c>
      <c r="N20" s="46"/>
      <c r="O20" s="24">
        <v>8</v>
      </c>
      <c r="P20" s="42" t="s">
        <v>323</v>
      </c>
      <c r="Q20" s="47" t="s">
        <v>538</v>
      </c>
      <c r="R20" s="47" t="s">
        <v>252</v>
      </c>
      <c r="S20" s="48" t="s">
        <v>609</v>
      </c>
      <c r="T20" s="48" t="s">
        <v>608</v>
      </c>
    </row>
    <row r="21" spans="2:20" x14ac:dyDescent="0.15">
      <c r="B21" s="24">
        <v>9</v>
      </c>
      <c r="C21" s="24" t="s">
        <v>318</v>
      </c>
      <c r="D21" s="29" t="s">
        <v>319</v>
      </c>
      <c r="E21" s="24" t="s">
        <v>39</v>
      </c>
      <c r="F21" s="24">
        <v>60</v>
      </c>
      <c r="G21" s="24" t="s">
        <v>303</v>
      </c>
      <c r="H21" s="40"/>
      <c r="I21" s="45">
        <v>9</v>
      </c>
      <c r="J21" s="28" t="s">
        <v>613</v>
      </c>
      <c r="K21" s="35" t="s">
        <v>436</v>
      </c>
      <c r="L21" s="26" t="s">
        <v>39</v>
      </c>
      <c r="M21" s="27">
        <v>30</v>
      </c>
      <c r="N21" s="46"/>
      <c r="O21" s="24">
        <v>9</v>
      </c>
      <c r="P21" s="49" t="s">
        <v>539</v>
      </c>
      <c r="Q21" s="49" t="s">
        <v>540</v>
      </c>
      <c r="R21" s="52" t="s">
        <v>541</v>
      </c>
      <c r="S21" s="53" t="s">
        <v>609</v>
      </c>
      <c r="T21" s="53" t="s">
        <v>610</v>
      </c>
    </row>
    <row r="22" spans="2:20" x14ac:dyDescent="0.15">
      <c r="B22" s="24">
        <v>10</v>
      </c>
      <c r="C22" s="24" t="s">
        <v>320</v>
      </c>
      <c r="D22" s="29" t="s">
        <v>321</v>
      </c>
      <c r="E22" s="24" t="s">
        <v>39</v>
      </c>
      <c r="F22" s="24">
        <v>15</v>
      </c>
      <c r="G22" s="24" t="s">
        <v>303</v>
      </c>
      <c r="H22" s="40"/>
      <c r="I22" s="45">
        <v>10</v>
      </c>
      <c r="J22" s="26" t="s">
        <v>614</v>
      </c>
      <c r="K22" s="36" t="s">
        <v>615</v>
      </c>
      <c r="L22" s="26" t="s">
        <v>39</v>
      </c>
      <c r="M22" s="27">
        <v>3</v>
      </c>
      <c r="N22" s="46"/>
      <c r="O22" s="24">
        <v>10</v>
      </c>
      <c r="P22" s="54" t="s">
        <v>542</v>
      </c>
      <c r="Q22" s="44" t="s">
        <v>543</v>
      </c>
      <c r="R22" s="47" t="s">
        <v>252</v>
      </c>
      <c r="S22" s="48" t="s">
        <v>609</v>
      </c>
      <c r="T22" s="48" t="s">
        <v>608</v>
      </c>
    </row>
    <row r="23" spans="2:20" x14ac:dyDescent="0.15">
      <c r="B23" s="24">
        <v>11</v>
      </c>
      <c r="C23" s="24" t="s">
        <v>322</v>
      </c>
      <c r="D23" s="29" t="s">
        <v>323</v>
      </c>
      <c r="E23" s="24" t="s">
        <v>39</v>
      </c>
      <c r="F23" s="24">
        <v>15</v>
      </c>
      <c r="G23" s="24" t="s">
        <v>303</v>
      </c>
      <c r="H23" s="40"/>
      <c r="I23" s="45">
        <v>11</v>
      </c>
      <c r="J23" s="26" t="s">
        <v>616</v>
      </c>
      <c r="K23" s="35" t="s">
        <v>441</v>
      </c>
      <c r="L23" s="26" t="s">
        <v>39</v>
      </c>
      <c r="M23" s="27">
        <v>30</v>
      </c>
      <c r="N23" s="46"/>
      <c r="O23" s="24">
        <v>11</v>
      </c>
      <c r="P23" s="54" t="s">
        <v>544</v>
      </c>
      <c r="Q23" s="47" t="s">
        <v>545</v>
      </c>
      <c r="R23" s="47" t="s">
        <v>252</v>
      </c>
      <c r="S23" s="48" t="s">
        <v>609</v>
      </c>
      <c r="T23" s="48" t="s">
        <v>608</v>
      </c>
    </row>
    <row r="24" spans="2:20" x14ac:dyDescent="0.15">
      <c r="B24" s="24">
        <v>12</v>
      </c>
      <c r="C24" s="24" t="s">
        <v>324</v>
      </c>
      <c r="D24" s="30" t="s">
        <v>325</v>
      </c>
      <c r="E24" s="24" t="s">
        <v>39</v>
      </c>
      <c r="F24" s="24">
        <v>30</v>
      </c>
      <c r="G24" s="24" t="s">
        <v>303</v>
      </c>
      <c r="H24" s="40"/>
      <c r="I24" s="45">
        <v>12</v>
      </c>
      <c r="J24" s="55" t="s">
        <v>715</v>
      </c>
      <c r="K24" s="37" t="s">
        <v>714</v>
      </c>
      <c r="L24" s="26" t="s">
        <v>39</v>
      </c>
      <c r="M24" s="27">
        <v>1</v>
      </c>
      <c r="N24" s="46"/>
      <c r="O24" s="24">
        <v>12</v>
      </c>
      <c r="P24" s="42" t="s">
        <v>713</v>
      </c>
      <c r="Q24" s="44" t="s">
        <v>546</v>
      </c>
      <c r="R24" s="47" t="s">
        <v>252</v>
      </c>
      <c r="S24" s="48" t="s">
        <v>609</v>
      </c>
      <c r="T24" s="48" t="s">
        <v>608</v>
      </c>
    </row>
    <row r="25" spans="2:20" x14ac:dyDescent="0.15">
      <c r="B25" s="24">
        <v>13</v>
      </c>
      <c r="C25" s="24" t="s">
        <v>326</v>
      </c>
      <c r="D25" s="30" t="s">
        <v>327</v>
      </c>
      <c r="E25" s="24" t="s">
        <v>39</v>
      </c>
      <c r="F25" s="24">
        <v>30</v>
      </c>
      <c r="G25" s="24" t="s">
        <v>303</v>
      </c>
      <c r="H25" s="40"/>
      <c r="I25" s="45">
        <v>13</v>
      </c>
      <c r="J25" s="26" t="s">
        <v>619</v>
      </c>
      <c r="K25" s="36" t="s">
        <v>553</v>
      </c>
      <c r="L25" s="26" t="s">
        <v>39</v>
      </c>
      <c r="M25" s="27">
        <v>15</v>
      </c>
      <c r="N25" s="46"/>
      <c r="O25" s="41">
        <v>13</v>
      </c>
      <c r="P25" s="42" t="s">
        <v>629</v>
      </c>
      <c r="Q25" s="47" t="s">
        <v>711</v>
      </c>
      <c r="R25" s="47" t="s">
        <v>252</v>
      </c>
      <c r="S25" s="48"/>
      <c r="T25" s="48"/>
    </row>
    <row r="26" spans="2:20" x14ac:dyDescent="0.15">
      <c r="B26" s="24">
        <v>14</v>
      </c>
      <c r="C26" s="24" t="s">
        <v>328</v>
      </c>
      <c r="D26" s="30" t="s">
        <v>329</v>
      </c>
      <c r="E26" s="24" t="s">
        <v>35</v>
      </c>
      <c r="F26" s="24"/>
      <c r="G26" s="24" t="s">
        <v>303</v>
      </c>
      <c r="H26" s="40"/>
      <c r="I26" s="45">
        <v>14</v>
      </c>
      <c r="J26" s="26" t="s">
        <v>620</v>
      </c>
      <c r="K26" s="36" t="s">
        <v>621</v>
      </c>
      <c r="L26" s="26" t="s">
        <v>39</v>
      </c>
      <c r="M26" s="27">
        <v>60</v>
      </c>
      <c r="N26" s="46"/>
      <c r="O26" s="24">
        <v>14</v>
      </c>
      <c r="P26" s="49" t="s">
        <v>547</v>
      </c>
      <c r="Q26" s="49" t="s">
        <v>548</v>
      </c>
      <c r="R26" s="49" t="s">
        <v>252</v>
      </c>
      <c r="S26" s="50" t="s">
        <v>609</v>
      </c>
      <c r="T26" s="53" t="s">
        <v>608</v>
      </c>
    </row>
    <row r="27" spans="2:20" x14ac:dyDescent="0.15">
      <c r="B27" s="24">
        <v>15</v>
      </c>
      <c r="C27" s="24" t="s">
        <v>330</v>
      </c>
      <c r="D27" s="30" t="s">
        <v>331</v>
      </c>
      <c r="E27" s="24" t="s">
        <v>39</v>
      </c>
      <c r="F27" s="24">
        <v>10</v>
      </c>
      <c r="G27" s="24" t="s">
        <v>303</v>
      </c>
      <c r="H27" s="40"/>
      <c r="I27" s="45">
        <v>15</v>
      </c>
      <c r="J27" s="26" t="s">
        <v>622</v>
      </c>
      <c r="K27" s="36" t="s">
        <v>623</v>
      </c>
      <c r="L27" s="26" t="s">
        <v>39</v>
      </c>
      <c r="M27" s="27">
        <v>60</v>
      </c>
      <c r="N27" s="46"/>
      <c r="O27" s="24">
        <v>15</v>
      </c>
      <c r="P27" s="49" t="s">
        <v>549</v>
      </c>
      <c r="Q27" s="49" t="s">
        <v>550</v>
      </c>
      <c r="R27" s="49" t="s">
        <v>252</v>
      </c>
      <c r="S27" s="50" t="s">
        <v>609</v>
      </c>
      <c r="T27" s="53" t="s">
        <v>608</v>
      </c>
    </row>
    <row r="28" spans="2:20" x14ac:dyDescent="0.15">
      <c r="B28" s="24">
        <v>16</v>
      </c>
      <c r="C28" s="24" t="s">
        <v>332</v>
      </c>
      <c r="D28" s="30" t="s">
        <v>333</v>
      </c>
      <c r="E28" s="24" t="s">
        <v>39</v>
      </c>
      <c r="F28" s="24">
        <v>12</v>
      </c>
      <c r="G28" s="24" t="s">
        <v>303</v>
      </c>
      <c r="H28" s="40"/>
      <c r="I28" s="45">
        <v>16</v>
      </c>
      <c r="J28" s="26" t="s">
        <v>624</v>
      </c>
      <c r="K28" s="36" t="s">
        <v>555</v>
      </c>
      <c r="L28" s="26" t="s">
        <v>35</v>
      </c>
      <c r="M28" s="27"/>
      <c r="N28" s="46"/>
      <c r="O28" s="24">
        <v>16</v>
      </c>
      <c r="P28" s="43" t="s">
        <v>551</v>
      </c>
      <c r="Q28" s="44" t="s">
        <v>552</v>
      </c>
      <c r="R28" s="47" t="s">
        <v>252</v>
      </c>
      <c r="S28" s="48" t="s">
        <v>609</v>
      </c>
      <c r="T28" s="48" t="s">
        <v>608</v>
      </c>
    </row>
    <row r="29" spans="2:20" x14ac:dyDescent="0.15">
      <c r="B29" s="24">
        <v>17</v>
      </c>
      <c r="C29" s="24" t="s">
        <v>334</v>
      </c>
      <c r="D29" s="30" t="s">
        <v>335</v>
      </c>
      <c r="E29" s="24" t="s">
        <v>39</v>
      </c>
      <c r="F29" s="24">
        <v>14</v>
      </c>
      <c r="G29" s="24" t="s">
        <v>336</v>
      </c>
      <c r="H29" s="40"/>
      <c r="I29" s="45">
        <v>17</v>
      </c>
      <c r="J29" s="55" t="s">
        <v>625</v>
      </c>
      <c r="K29" s="37" t="s">
        <v>712</v>
      </c>
      <c r="L29" s="26" t="s">
        <v>39</v>
      </c>
      <c r="M29" s="27">
        <v>1</v>
      </c>
      <c r="N29" s="46"/>
      <c r="O29" s="24">
        <v>17</v>
      </c>
      <c r="P29" s="54" t="s">
        <v>553</v>
      </c>
      <c r="Q29" s="44" t="s">
        <v>554</v>
      </c>
      <c r="R29" s="47" t="s">
        <v>252</v>
      </c>
      <c r="S29" s="48" t="s">
        <v>609</v>
      </c>
      <c r="T29" s="48" t="s">
        <v>608</v>
      </c>
    </row>
    <row r="30" spans="2:20" x14ac:dyDescent="0.15">
      <c r="B30" s="24">
        <v>18</v>
      </c>
      <c r="C30" s="24" t="s">
        <v>337</v>
      </c>
      <c r="D30" s="30" t="s">
        <v>338</v>
      </c>
      <c r="E30" s="24" t="s">
        <v>39</v>
      </c>
      <c r="F30" s="24">
        <v>16</v>
      </c>
      <c r="G30" s="24" t="s">
        <v>303</v>
      </c>
      <c r="H30" s="40"/>
      <c r="I30" s="45">
        <v>18</v>
      </c>
      <c r="J30" s="26" t="s">
        <v>626</v>
      </c>
      <c r="K30" s="35" t="s">
        <v>627</v>
      </c>
      <c r="L30" s="26" t="s">
        <v>158</v>
      </c>
      <c r="M30" s="27" t="s">
        <v>628</v>
      </c>
      <c r="N30" s="46"/>
      <c r="O30" s="24">
        <v>18</v>
      </c>
      <c r="P30" s="54" t="s">
        <v>555</v>
      </c>
      <c r="Q30" s="44" t="s">
        <v>556</v>
      </c>
      <c r="R30" s="47" t="s">
        <v>252</v>
      </c>
      <c r="S30" s="48" t="s">
        <v>609</v>
      </c>
      <c r="T30" s="48" t="s">
        <v>608</v>
      </c>
    </row>
    <row r="31" spans="2:20" x14ac:dyDescent="0.15">
      <c r="B31" s="24">
        <v>19</v>
      </c>
      <c r="C31" s="24" t="s">
        <v>339</v>
      </c>
      <c r="D31" s="30" t="s">
        <v>340</v>
      </c>
      <c r="E31" s="24" t="s">
        <v>39</v>
      </c>
      <c r="F31" s="24">
        <v>20</v>
      </c>
      <c r="G31" s="24" t="s">
        <v>341</v>
      </c>
      <c r="O31" s="24">
        <v>19</v>
      </c>
      <c r="P31" s="43" t="s">
        <v>557</v>
      </c>
      <c r="Q31" s="44" t="s">
        <v>558</v>
      </c>
      <c r="R31" s="47" t="s">
        <v>252</v>
      </c>
      <c r="S31" s="48" t="s">
        <v>609</v>
      </c>
      <c r="T31" s="48" t="s">
        <v>608</v>
      </c>
    </row>
    <row r="32" spans="2:20" x14ac:dyDescent="0.15">
      <c r="B32" s="24">
        <v>20</v>
      </c>
      <c r="C32" s="24" t="s">
        <v>342</v>
      </c>
      <c r="D32" s="30" t="s">
        <v>343</v>
      </c>
      <c r="E32" s="24" t="s">
        <v>39</v>
      </c>
      <c r="F32" s="24">
        <v>8</v>
      </c>
      <c r="G32" s="24" t="s">
        <v>344</v>
      </c>
      <c r="O32" s="24">
        <v>20</v>
      </c>
      <c r="P32" s="49" t="s">
        <v>559</v>
      </c>
      <c r="Q32" s="49" t="s">
        <v>560</v>
      </c>
      <c r="R32" s="49" t="s">
        <v>253</v>
      </c>
      <c r="S32" s="53" t="s">
        <v>609</v>
      </c>
      <c r="T32" s="53" t="s">
        <v>610</v>
      </c>
    </row>
    <row r="33" spans="2:20" x14ac:dyDescent="0.15">
      <c r="B33" s="24">
        <v>21</v>
      </c>
      <c r="C33" s="24" t="s">
        <v>345</v>
      </c>
      <c r="D33" s="30" t="s">
        <v>346</v>
      </c>
      <c r="E33" s="24" t="s">
        <v>39</v>
      </c>
      <c r="F33" s="24">
        <v>22</v>
      </c>
      <c r="G33" s="24" t="s">
        <v>344</v>
      </c>
      <c r="O33" s="24">
        <v>21</v>
      </c>
      <c r="P33" s="49" t="s">
        <v>561</v>
      </c>
      <c r="Q33" s="49" t="s">
        <v>562</v>
      </c>
      <c r="R33" s="49" t="s">
        <v>252</v>
      </c>
      <c r="S33" s="53" t="s">
        <v>609</v>
      </c>
      <c r="T33" s="53" t="s">
        <v>608</v>
      </c>
    </row>
    <row r="34" spans="2:20" x14ac:dyDescent="0.15">
      <c r="B34" s="24">
        <v>22</v>
      </c>
      <c r="C34" s="24" t="s">
        <v>347</v>
      </c>
      <c r="D34" s="30" t="s">
        <v>348</v>
      </c>
      <c r="E34" s="24" t="s">
        <v>35</v>
      </c>
      <c r="F34" s="24"/>
      <c r="G34" s="24" t="s">
        <v>303</v>
      </c>
      <c r="O34" s="24">
        <v>22</v>
      </c>
      <c r="P34" s="49" t="s">
        <v>563</v>
      </c>
      <c r="Q34" s="49" t="s">
        <v>564</v>
      </c>
      <c r="R34" s="49" t="s">
        <v>252</v>
      </c>
      <c r="S34" s="53" t="s">
        <v>609</v>
      </c>
      <c r="T34" s="53" t="s">
        <v>608</v>
      </c>
    </row>
    <row r="35" spans="2:20" x14ac:dyDescent="0.15">
      <c r="B35" s="24">
        <v>23</v>
      </c>
      <c r="C35" s="24" t="s">
        <v>349</v>
      </c>
      <c r="D35" s="30" t="s">
        <v>350</v>
      </c>
      <c r="E35" s="24" t="s">
        <v>35</v>
      </c>
      <c r="F35" s="24"/>
      <c r="G35" s="24" t="s">
        <v>303</v>
      </c>
      <c r="O35" s="24">
        <v>23</v>
      </c>
      <c r="P35" s="54" t="s">
        <v>565</v>
      </c>
      <c r="Q35" s="44" t="s">
        <v>566</v>
      </c>
      <c r="R35" s="47" t="s">
        <v>252</v>
      </c>
      <c r="S35" s="48" t="s">
        <v>609</v>
      </c>
      <c r="T35" s="48" t="s">
        <v>608</v>
      </c>
    </row>
    <row r="36" spans="2:20" x14ac:dyDescent="0.15">
      <c r="B36" s="24">
        <v>24</v>
      </c>
      <c r="C36" s="24" t="s">
        <v>351</v>
      </c>
      <c r="D36" s="30" t="s">
        <v>352</v>
      </c>
      <c r="E36" s="24" t="s">
        <v>35</v>
      </c>
      <c r="F36" s="24"/>
      <c r="G36" s="24" t="s">
        <v>303</v>
      </c>
      <c r="O36" s="24">
        <v>24</v>
      </c>
      <c r="P36" s="54" t="s">
        <v>567</v>
      </c>
      <c r="Q36" s="44" t="s">
        <v>568</v>
      </c>
      <c r="R36" s="47" t="s">
        <v>252</v>
      </c>
      <c r="S36" s="48" t="s">
        <v>609</v>
      </c>
      <c r="T36" s="48" t="s">
        <v>608</v>
      </c>
    </row>
    <row r="37" spans="2:20" x14ac:dyDescent="0.15">
      <c r="B37" s="24">
        <v>25</v>
      </c>
      <c r="C37" s="24" t="s">
        <v>353</v>
      </c>
      <c r="D37" s="30" t="s">
        <v>354</v>
      </c>
      <c r="E37" s="24" t="s">
        <v>35</v>
      </c>
      <c r="F37" s="24"/>
      <c r="G37" s="24" t="s">
        <v>303</v>
      </c>
      <c r="O37" s="24">
        <v>25</v>
      </c>
      <c r="P37" s="49" t="s">
        <v>569</v>
      </c>
      <c r="Q37" s="49" t="s">
        <v>570</v>
      </c>
      <c r="R37" s="49" t="s">
        <v>252</v>
      </c>
      <c r="S37" s="53" t="s">
        <v>609</v>
      </c>
      <c r="T37" s="53" t="s">
        <v>608</v>
      </c>
    </row>
    <row r="38" spans="2:20" x14ac:dyDescent="0.15">
      <c r="B38" s="24">
        <v>26</v>
      </c>
      <c r="C38" s="24" t="s">
        <v>355</v>
      </c>
      <c r="D38" s="30" t="s">
        <v>356</v>
      </c>
      <c r="E38" s="24" t="s">
        <v>35</v>
      </c>
      <c r="F38" s="24"/>
      <c r="G38" s="24" t="s">
        <v>303</v>
      </c>
      <c r="O38" s="24">
        <v>26</v>
      </c>
      <c r="P38" s="49" t="s">
        <v>571</v>
      </c>
      <c r="Q38" s="49" t="s">
        <v>572</v>
      </c>
      <c r="R38" s="49" t="s">
        <v>252</v>
      </c>
      <c r="S38" s="53" t="s">
        <v>609</v>
      </c>
      <c r="T38" s="53" t="s">
        <v>608</v>
      </c>
    </row>
    <row r="39" spans="2:20" x14ac:dyDescent="0.15">
      <c r="B39" s="24">
        <v>27</v>
      </c>
      <c r="C39" s="24" t="s">
        <v>357</v>
      </c>
      <c r="D39" s="30" t="s">
        <v>358</v>
      </c>
      <c r="E39" s="24" t="s">
        <v>35</v>
      </c>
      <c r="F39" s="24"/>
      <c r="G39" s="24" t="s">
        <v>303</v>
      </c>
      <c r="O39" s="24">
        <v>27</v>
      </c>
      <c r="P39" s="42" t="s">
        <v>381</v>
      </c>
      <c r="Q39" s="44" t="s">
        <v>573</v>
      </c>
      <c r="R39" s="47" t="s">
        <v>541</v>
      </c>
      <c r="S39" s="48" t="s">
        <v>609</v>
      </c>
      <c r="T39" s="48" t="s">
        <v>610</v>
      </c>
    </row>
    <row r="40" spans="2:20" x14ac:dyDescent="0.15">
      <c r="B40" s="24">
        <v>28</v>
      </c>
      <c r="C40" s="24" t="s">
        <v>359</v>
      </c>
      <c r="D40" s="30" t="s">
        <v>360</v>
      </c>
      <c r="E40" s="24" t="s">
        <v>35</v>
      </c>
      <c r="F40" s="24"/>
      <c r="G40" s="24" t="s">
        <v>303</v>
      </c>
      <c r="O40" s="24">
        <v>28</v>
      </c>
      <c r="P40" s="42" t="s">
        <v>385</v>
      </c>
      <c r="Q40" s="47" t="s">
        <v>574</v>
      </c>
      <c r="R40" s="47" t="s">
        <v>541</v>
      </c>
      <c r="S40" s="48" t="s">
        <v>609</v>
      </c>
      <c r="T40" s="48" t="s">
        <v>610</v>
      </c>
    </row>
    <row r="41" spans="2:20" x14ac:dyDescent="0.15">
      <c r="B41" s="24">
        <v>29</v>
      </c>
      <c r="C41" s="24" t="s">
        <v>125</v>
      </c>
      <c r="D41" s="30" t="s">
        <v>361</v>
      </c>
      <c r="E41" s="24" t="s">
        <v>39</v>
      </c>
      <c r="F41" s="24">
        <v>16</v>
      </c>
      <c r="G41" s="24" t="s">
        <v>362</v>
      </c>
      <c r="O41" s="24">
        <v>29</v>
      </c>
      <c r="P41" s="49" t="s">
        <v>575</v>
      </c>
      <c r="Q41" s="49" t="s">
        <v>576</v>
      </c>
      <c r="R41" s="49" t="s">
        <v>252</v>
      </c>
      <c r="S41" s="50" t="s">
        <v>609</v>
      </c>
      <c r="T41" s="50" t="s">
        <v>608</v>
      </c>
    </row>
    <row r="42" spans="2:20" x14ac:dyDescent="0.15">
      <c r="B42" s="24">
        <v>30</v>
      </c>
      <c r="C42" s="24" t="s">
        <v>363</v>
      </c>
      <c r="D42" s="30" t="s">
        <v>340</v>
      </c>
      <c r="E42" s="24" t="s">
        <v>39</v>
      </c>
      <c r="F42" s="24">
        <v>20</v>
      </c>
      <c r="G42" s="24" t="s">
        <v>364</v>
      </c>
      <c r="O42" s="24">
        <v>30</v>
      </c>
      <c r="P42" s="49" t="s">
        <v>577</v>
      </c>
      <c r="Q42" s="49" t="s">
        <v>578</v>
      </c>
      <c r="R42" s="49" t="s">
        <v>252</v>
      </c>
      <c r="S42" s="50" t="s">
        <v>609</v>
      </c>
      <c r="T42" s="50" t="s">
        <v>608</v>
      </c>
    </row>
    <row r="43" spans="2:20" x14ac:dyDescent="0.15">
      <c r="B43" s="24">
        <v>31</v>
      </c>
      <c r="C43" s="24" t="s">
        <v>365</v>
      </c>
      <c r="D43" s="30" t="s">
        <v>366</v>
      </c>
      <c r="E43" s="24" t="s">
        <v>39</v>
      </c>
      <c r="F43" s="24">
        <v>8</v>
      </c>
      <c r="G43" s="24" t="s">
        <v>367</v>
      </c>
      <c r="O43" s="24">
        <v>31</v>
      </c>
      <c r="P43" s="49" t="s">
        <v>579</v>
      </c>
      <c r="Q43" s="49" t="s">
        <v>580</v>
      </c>
      <c r="R43" s="49" t="s">
        <v>252</v>
      </c>
      <c r="S43" s="50" t="s">
        <v>609</v>
      </c>
      <c r="T43" s="50" t="s">
        <v>608</v>
      </c>
    </row>
    <row r="44" spans="2:20" x14ac:dyDescent="0.15">
      <c r="B44" s="24">
        <v>32</v>
      </c>
      <c r="C44" s="24" t="s">
        <v>368</v>
      </c>
      <c r="D44" s="30" t="s">
        <v>346</v>
      </c>
      <c r="E44" s="24" t="s">
        <v>39</v>
      </c>
      <c r="F44" s="24">
        <v>22</v>
      </c>
      <c r="G44" s="24" t="s">
        <v>369</v>
      </c>
      <c r="O44" s="24">
        <v>32</v>
      </c>
      <c r="P44" s="42" t="s">
        <v>391</v>
      </c>
      <c r="Q44" s="47" t="s">
        <v>581</v>
      </c>
      <c r="R44" s="47" t="s">
        <v>253</v>
      </c>
      <c r="S44" s="48" t="s">
        <v>609</v>
      </c>
      <c r="T44" s="48" t="s">
        <v>610</v>
      </c>
    </row>
    <row r="45" spans="2:20" x14ac:dyDescent="0.15">
      <c r="B45" s="24">
        <v>33</v>
      </c>
      <c r="C45" s="24" t="s">
        <v>370</v>
      </c>
      <c r="D45" s="30" t="s">
        <v>371</v>
      </c>
      <c r="E45" s="24" t="s">
        <v>35</v>
      </c>
      <c r="F45" s="24"/>
      <c r="G45" s="24" t="s">
        <v>303</v>
      </c>
      <c r="O45" s="24">
        <v>33</v>
      </c>
      <c r="P45" s="49" t="s">
        <v>582</v>
      </c>
      <c r="Q45" s="49" t="s">
        <v>583</v>
      </c>
      <c r="R45" s="49" t="s">
        <v>252</v>
      </c>
      <c r="S45" s="50" t="s">
        <v>609</v>
      </c>
      <c r="T45" s="50" t="s">
        <v>608</v>
      </c>
    </row>
    <row r="46" spans="2:20" x14ac:dyDescent="0.15">
      <c r="B46" s="24">
        <v>34</v>
      </c>
      <c r="C46" s="24" t="s">
        <v>372</v>
      </c>
      <c r="D46" s="30" t="s">
        <v>373</v>
      </c>
      <c r="E46" s="24" t="s">
        <v>35</v>
      </c>
      <c r="F46" s="24"/>
      <c r="G46" s="24" t="s">
        <v>303</v>
      </c>
      <c r="O46" s="24">
        <v>34</v>
      </c>
      <c r="P46" s="49" t="s">
        <v>584</v>
      </c>
      <c r="Q46" s="49" t="s">
        <v>585</v>
      </c>
      <c r="R46" s="49" t="s">
        <v>252</v>
      </c>
      <c r="S46" s="50" t="s">
        <v>609</v>
      </c>
      <c r="T46" s="50" t="s">
        <v>608</v>
      </c>
    </row>
    <row r="47" spans="2:20" x14ac:dyDescent="0.15">
      <c r="B47" s="24">
        <v>35</v>
      </c>
      <c r="C47" s="24" t="s">
        <v>374</v>
      </c>
      <c r="D47" s="30" t="s">
        <v>375</v>
      </c>
      <c r="E47" s="24" t="s">
        <v>35</v>
      </c>
      <c r="F47" s="24"/>
      <c r="G47" s="24" t="s">
        <v>303</v>
      </c>
      <c r="O47" s="24">
        <v>35</v>
      </c>
      <c r="P47" s="49" t="s">
        <v>586</v>
      </c>
      <c r="Q47" s="49" t="s">
        <v>587</v>
      </c>
      <c r="R47" s="49" t="s">
        <v>253</v>
      </c>
      <c r="S47" s="50" t="s">
        <v>609</v>
      </c>
      <c r="T47" s="50" t="s">
        <v>610</v>
      </c>
    </row>
    <row r="48" spans="2:20" x14ac:dyDescent="0.15">
      <c r="B48" s="24">
        <v>36</v>
      </c>
      <c r="C48" s="24" t="s">
        <v>376</v>
      </c>
      <c r="D48" s="30" t="s">
        <v>377</v>
      </c>
      <c r="E48" s="24" t="s">
        <v>35</v>
      </c>
      <c r="F48" s="24"/>
      <c r="G48" s="24" t="s">
        <v>303</v>
      </c>
      <c r="O48" s="24">
        <v>36</v>
      </c>
      <c r="P48" s="49" t="s">
        <v>588</v>
      </c>
      <c r="Q48" s="49" t="s">
        <v>589</v>
      </c>
      <c r="R48" s="49" t="s">
        <v>252</v>
      </c>
      <c r="S48" s="50" t="s">
        <v>609</v>
      </c>
      <c r="T48" s="50" t="s">
        <v>608</v>
      </c>
    </row>
    <row r="49" spans="2:20" x14ac:dyDescent="0.15">
      <c r="B49" s="24">
        <v>37</v>
      </c>
      <c r="C49" s="24" t="s">
        <v>378</v>
      </c>
      <c r="D49" s="30" t="s">
        <v>379</v>
      </c>
      <c r="E49" s="24" t="s">
        <v>35</v>
      </c>
      <c r="F49" s="24"/>
      <c r="G49" s="24" t="s">
        <v>303</v>
      </c>
      <c r="O49" s="24">
        <v>37</v>
      </c>
      <c r="P49" s="49" t="s">
        <v>590</v>
      </c>
      <c r="Q49" s="49" t="s">
        <v>591</v>
      </c>
      <c r="R49" s="49" t="s">
        <v>253</v>
      </c>
      <c r="S49" s="50" t="s">
        <v>609</v>
      </c>
      <c r="T49" s="50" t="s">
        <v>610</v>
      </c>
    </row>
    <row r="50" spans="2:20" x14ac:dyDescent="0.15">
      <c r="B50" s="24">
        <v>38</v>
      </c>
      <c r="C50" s="24" t="s">
        <v>380</v>
      </c>
      <c r="D50" s="29" t="s">
        <v>381</v>
      </c>
      <c r="E50" s="24" t="s">
        <v>35</v>
      </c>
      <c r="F50" s="24"/>
      <c r="G50" s="24" t="s">
        <v>303</v>
      </c>
      <c r="O50" s="24">
        <v>38</v>
      </c>
      <c r="P50" s="49" t="s">
        <v>592</v>
      </c>
      <c r="Q50" s="49" t="s">
        <v>593</v>
      </c>
      <c r="R50" s="49" t="s">
        <v>252</v>
      </c>
      <c r="S50" s="50" t="s">
        <v>609</v>
      </c>
      <c r="T50" s="50" t="s">
        <v>608</v>
      </c>
    </row>
    <row r="51" spans="2:20" x14ac:dyDescent="0.15">
      <c r="B51" s="24">
        <v>39</v>
      </c>
      <c r="C51" s="24" t="s">
        <v>382</v>
      </c>
      <c r="D51" s="30" t="s">
        <v>383</v>
      </c>
      <c r="E51" s="24" t="s">
        <v>35</v>
      </c>
      <c r="F51" s="24"/>
      <c r="G51" s="24" t="s">
        <v>303</v>
      </c>
      <c r="O51" s="24">
        <v>39</v>
      </c>
      <c r="P51" s="49" t="s">
        <v>594</v>
      </c>
      <c r="Q51" s="49" t="s">
        <v>595</v>
      </c>
      <c r="R51" s="49" t="s">
        <v>253</v>
      </c>
      <c r="S51" s="50" t="s">
        <v>609</v>
      </c>
      <c r="T51" s="50" t="s">
        <v>610</v>
      </c>
    </row>
    <row r="52" spans="2:20" x14ac:dyDescent="0.15">
      <c r="B52" s="24">
        <v>40</v>
      </c>
      <c r="C52" s="24" t="s">
        <v>384</v>
      </c>
      <c r="D52" s="29" t="s">
        <v>385</v>
      </c>
      <c r="E52" s="24" t="s">
        <v>35</v>
      </c>
      <c r="F52" s="24"/>
      <c r="G52" s="24" t="s">
        <v>303</v>
      </c>
      <c r="O52" s="24">
        <v>40</v>
      </c>
      <c r="P52" s="49" t="s">
        <v>596</v>
      </c>
      <c r="Q52" s="49" t="s">
        <v>597</v>
      </c>
      <c r="R52" s="49" t="s">
        <v>252</v>
      </c>
      <c r="S52" s="50" t="s">
        <v>609</v>
      </c>
      <c r="T52" s="50" t="s">
        <v>608</v>
      </c>
    </row>
    <row r="53" spans="2:20" x14ac:dyDescent="0.15">
      <c r="B53" s="24">
        <v>41</v>
      </c>
      <c r="C53" s="24" t="s">
        <v>386</v>
      </c>
      <c r="D53" s="29" t="s">
        <v>387</v>
      </c>
      <c r="E53" s="24" t="s">
        <v>35</v>
      </c>
      <c r="F53" s="24"/>
      <c r="G53" s="24" t="s">
        <v>303</v>
      </c>
      <c r="O53" s="24">
        <v>41</v>
      </c>
      <c r="P53" s="49" t="s">
        <v>598</v>
      </c>
      <c r="Q53" s="49" t="s">
        <v>599</v>
      </c>
      <c r="R53" s="49" t="s">
        <v>252</v>
      </c>
      <c r="S53" s="50" t="s">
        <v>609</v>
      </c>
      <c r="T53" s="50" t="s">
        <v>608</v>
      </c>
    </row>
    <row r="54" spans="2:20" x14ac:dyDescent="0.15">
      <c r="B54" s="24">
        <v>42</v>
      </c>
      <c r="C54" s="24" t="s">
        <v>388</v>
      </c>
      <c r="D54" s="29" t="s">
        <v>389</v>
      </c>
      <c r="E54" s="24" t="s">
        <v>39</v>
      </c>
      <c r="F54" s="24">
        <v>20</v>
      </c>
      <c r="G54" s="24" t="s">
        <v>303</v>
      </c>
      <c r="O54" s="24">
        <v>42</v>
      </c>
      <c r="P54" s="49" t="s">
        <v>600</v>
      </c>
      <c r="Q54" s="49" t="s">
        <v>601</v>
      </c>
      <c r="R54" s="49" t="s">
        <v>602</v>
      </c>
      <c r="S54" s="50" t="s">
        <v>609</v>
      </c>
      <c r="T54" s="50" t="s">
        <v>608</v>
      </c>
    </row>
    <row r="55" spans="2:20" x14ac:dyDescent="0.15">
      <c r="B55" s="24">
        <v>43</v>
      </c>
      <c r="C55" s="24" t="s">
        <v>390</v>
      </c>
      <c r="D55" s="29" t="s">
        <v>391</v>
      </c>
      <c r="E55" s="24" t="s">
        <v>158</v>
      </c>
      <c r="F55" s="24" t="s">
        <v>392</v>
      </c>
      <c r="G55" s="24" t="s">
        <v>303</v>
      </c>
      <c r="O55" s="24">
        <v>43</v>
      </c>
      <c r="P55" s="49" t="s">
        <v>603</v>
      </c>
      <c r="Q55" s="49" t="s">
        <v>604</v>
      </c>
      <c r="R55" s="49" t="s">
        <v>252</v>
      </c>
      <c r="S55" s="50" t="s">
        <v>609</v>
      </c>
      <c r="T55" s="50" t="s">
        <v>608</v>
      </c>
    </row>
    <row r="56" spans="2:20" x14ac:dyDescent="0.15">
      <c r="B56" s="24">
        <v>44</v>
      </c>
      <c r="C56" s="24" t="s">
        <v>393</v>
      </c>
      <c r="D56" s="30" t="s">
        <v>394</v>
      </c>
      <c r="E56" s="24" t="s">
        <v>35</v>
      </c>
      <c r="F56" s="24"/>
      <c r="G56" s="24" t="s">
        <v>303</v>
      </c>
      <c r="O56" s="24"/>
      <c r="P56" s="49" t="s">
        <v>605</v>
      </c>
      <c r="Q56" s="49" t="s">
        <v>606</v>
      </c>
      <c r="R56" s="49" t="s">
        <v>602</v>
      </c>
      <c r="S56" s="50" t="s">
        <v>609</v>
      </c>
      <c r="T56" s="50" t="s">
        <v>608</v>
      </c>
    </row>
    <row r="57" spans="2:20" x14ac:dyDescent="0.15">
      <c r="B57" s="24">
        <v>45</v>
      </c>
      <c r="C57" s="24" t="s">
        <v>395</v>
      </c>
      <c r="D57" s="30" t="s">
        <v>389</v>
      </c>
      <c r="E57" s="24" t="s">
        <v>39</v>
      </c>
      <c r="F57" s="24">
        <v>20</v>
      </c>
      <c r="G57" s="24" t="s">
        <v>303</v>
      </c>
    </row>
    <row r="58" spans="2:20" x14ac:dyDescent="0.15">
      <c r="B58" s="24">
        <v>46</v>
      </c>
      <c r="C58" s="24" t="s">
        <v>396</v>
      </c>
      <c r="D58" s="30" t="s">
        <v>397</v>
      </c>
      <c r="E58" s="24" t="s">
        <v>35</v>
      </c>
      <c r="F58" s="24"/>
      <c r="G58" s="24" t="s">
        <v>303</v>
      </c>
    </row>
    <row r="59" spans="2:20" x14ac:dyDescent="0.15">
      <c r="B59" s="24">
        <v>47</v>
      </c>
      <c r="C59" s="24" t="s">
        <v>398</v>
      </c>
      <c r="D59" s="30" t="s">
        <v>389</v>
      </c>
      <c r="E59" s="24" t="s">
        <v>39</v>
      </c>
      <c r="F59" s="24">
        <v>20</v>
      </c>
      <c r="G59" s="24" t="s">
        <v>303</v>
      </c>
    </row>
    <row r="60" spans="2:20" x14ac:dyDescent="0.15">
      <c r="B60" s="24">
        <v>48</v>
      </c>
      <c r="C60" s="24" t="s">
        <v>399</v>
      </c>
      <c r="D60" s="30" t="s">
        <v>400</v>
      </c>
      <c r="E60" s="24" t="s">
        <v>35</v>
      </c>
      <c r="F60" s="24"/>
      <c r="G60" s="24" t="s">
        <v>303</v>
      </c>
    </row>
    <row r="61" spans="2:20" x14ac:dyDescent="0.15">
      <c r="B61" s="24">
        <v>49</v>
      </c>
      <c r="C61" s="24" t="s">
        <v>401</v>
      </c>
      <c r="D61" s="30" t="s">
        <v>389</v>
      </c>
      <c r="E61" s="24" t="s">
        <v>39</v>
      </c>
      <c r="F61" s="24">
        <v>20</v>
      </c>
      <c r="G61" s="24" t="s">
        <v>303</v>
      </c>
    </row>
    <row r="62" spans="2:20" x14ac:dyDescent="0.15">
      <c r="B62" s="24">
        <v>50</v>
      </c>
      <c r="C62" s="24" t="s">
        <v>402</v>
      </c>
      <c r="D62" s="30" t="s">
        <v>403</v>
      </c>
      <c r="E62" s="24" t="s">
        <v>35</v>
      </c>
      <c r="F62" s="24"/>
      <c r="G62" s="24" t="s">
        <v>303</v>
      </c>
    </row>
    <row r="63" spans="2:20" x14ac:dyDescent="0.15">
      <c r="B63" s="24">
        <v>51</v>
      </c>
      <c r="C63" s="24" t="s">
        <v>404</v>
      </c>
      <c r="D63" s="30" t="s">
        <v>389</v>
      </c>
      <c r="E63" s="24" t="s">
        <v>39</v>
      </c>
      <c r="F63" s="24">
        <v>20</v>
      </c>
      <c r="G63" s="24" t="s">
        <v>303</v>
      </c>
    </row>
    <row r="64" spans="2:20" x14ac:dyDescent="0.15">
      <c r="B64" s="24">
        <v>52</v>
      </c>
      <c r="C64" s="24" t="s">
        <v>405</v>
      </c>
      <c r="D64" s="30" t="s">
        <v>406</v>
      </c>
      <c r="E64" s="24" t="s">
        <v>158</v>
      </c>
      <c r="F64" s="24" t="s">
        <v>407</v>
      </c>
      <c r="G64" s="24" t="s">
        <v>303</v>
      </c>
    </row>
    <row r="65" spans="2:7" x14ac:dyDescent="0.15">
      <c r="B65" s="24">
        <v>53</v>
      </c>
      <c r="C65" s="24" t="s">
        <v>408</v>
      </c>
      <c r="D65" s="30" t="s">
        <v>409</v>
      </c>
      <c r="E65" s="24" t="s">
        <v>35</v>
      </c>
      <c r="F65" s="24"/>
      <c r="G65" s="24" t="s">
        <v>303</v>
      </c>
    </row>
    <row r="66" spans="2:7" x14ac:dyDescent="0.15">
      <c r="B66" s="24">
        <v>54</v>
      </c>
      <c r="C66" s="24" t="s">
        <v>410</v>
      </c>
      <c r="D66" s="30" t="s">
        <v>411</v>
      </c>
      <c r="E66" s="24" t="s">
        <v>35</v>
      </c>
      <c r="F66" s="24"/>
      <c r="G66" s="24" t="s">
        <v>303</v>
      </c>
    </row>
    <row r="67" spans="2:7" x14ac:dyDescent="0.15">
      <c r="B67" s="24">
        <v>55</v>
      </c>
      <c r="C67" s="24" t="s">
        <v>412</v>
      </c>
      <c r="D67" s="30" t="s">
        <v>413</v>
      </c>
      <c r="E67" s="24" t="s">
        <v>35</v>
      </c>
      <c r="F67" s="24"/>
      <c r="G67" s="24" t="s">
        <v>303</v>
      </c>
    </row>
    <row r="68" spans="2:7" x14ac:dyDescent="0.15">
      <c r="B68" s="24">
        <v>56</v>
      </c>
      <c r="C68" s="24" t="s">
        <v>414</v>
      </c>
      <c r="D68" s="30" t="s">
        <v>389</v>
      </c>
      <c r="E68" s="24" t="s">
        <v>39</v>
      </c>
      <c r="F68" s="24">
        <v>20</v>
      </c>
      <c r="G68" s="24" t="s">
        <v>303</v>
      </c>
    </row>
    <row r="69" spans="2:7" x14ac:dyDescent="0.15">
      <c r="B69" s="24">
        <v>57</v>
      </c>
      <c r="C69" s="24" t="s">
        <v>415</v>
      </c>
      <c r="D69" s="30" t="s">
        <v>416</v>
      </c>
      <c r="E69" s="24" t="s">
        <v>158</v>
      </c>
      <c r="F69" s="24" t="s">
        <v>407</v>
      </c>
      <c r="G69" s="24" t="s">
        <v>303</v>
      </c>
    </row>
    <row r="70" spans="2:7" x14ac:dyDescent="0.15">
      <c r="B70" s="24">
        <v>58</v>
      </c>
      <c r="C70" s="24" t="s">
        <v>417</v>
      </c>
      <c r="D70" s="30" t="s">
        <v>418</v>
      </c>
      <c r="E70" s="24" t="s">
        <v>35</v>
      </c>
      <c r="F70" s="24"/>
      <c r="G70" s="24" t="s">
        <v>303</v>
      </c>
    </row>
    <row r="71" spans="2:7" x14ac:dyDescent="0.15">
      <c r="B71" s="24">
        <v>59</v>
      </c>
      <c r="C71" s="24" t="s">
        <v>419</v>
      </c>
      <c r="D71" s="30" t="s">
        <v>420</v>
      </c>
      <c r="E71" s="24" t="s">
        <v>35</v>
      </c>
      <c r="F71" s="24"/>
      <c r="G71" s="24" t="s">
        <v>303</v>
      </c>
    </row>
    <row r="72" spans="2:7" x14ac:dyDescent="0.15">
      <c r="B72" s="24">
        <v>60</v>
      </c>
      <c r="C72" s="24" t="s">
        <v>421</v>
      </c>
      <c r="D72" s="30" t="s">
        <v>422</v>
      </c>
      <c r="E72" s="24" t="s">
        <v>35</v>
      </c>
      <c r="F72" s="24"/>
      <c r="G72" s="24" t="s">
        <v>303</v>
      </c>
    </row>
    <row r="73" spans="2:7" x14ac:dyDescent="0.15">
      <c r="B73" s="24">
        <v>61</v>
      </c>
      <c r="C73" s="24" t="s">
        <v>423</v>
      </c>
      <c r="D73" s="30" t="s">
        <v>389</v>
      </c>
      <c r="E73" s="24" t="s">
        <v>39</v>
      </c>
      <c r="F73" s="24">
        <v>20</v>
      </c>
      <c r="G73" s="24" t="s">
        <v>303</v>
      </c>
    </row>
    <row r="74" spans="2:7" x14ac:dyDescent="0.15">
      <c r="B74" s="24">
        <v>62</v>
      </c>
      <c r="C74" s="24" t="s">
        <v>424</v>
      </c>
      <c r="D74" s="30" t="s">
        <v>425</v>
      </c>
      <c r="E74" s="24" t="s">
        <v>158</v>
      </c>
      <c r="F74" s="24" t="s">
        <v>407</v>
      </c>
      <c r="G74" s="24" t="s">
        <v>303</v>
      </c>
    </row>
    <row r="75" spans="2:7" x14ac:dyDescent="0.15">
      <c r="B75" s="24">
        <v>63</v>
      </c>
      <c r="C75" s="24" t="s">
        <v>426</v>
      </c>
      <c r="D75" s="30" t="s">
        <v>427</v>
      </c>
      <c r="E75" s="24" t="s">
        <v>35</v>
      </c>
      <c r="F75" s="24"/>
      <c r="G75" s="24" t="s">
        <v>303</v>
      </c>
    </row>
    <row r="76" spans="2:7" x14ac:dyDescent="0.15">
      <c r="B76" s="24">
        <v>64</v>
      </c>
      <c r="C76" s="24" t="s">
        <v>428</v>
      </c>
      <c r="D76" s="30" t="s">
        <v>429</v>
      </c>
      <c r="E76" s="24" t="s">
        <v>35</v>
      </c>
      <c r="F76" s="24"/>
      <c r="G76" s="24" t="s">
        <v>303</v>
      </c>
    </row>
    <row r="77" spans="2:7" x14ac:dyDescent="0.15">
      <c r="B77" s="25">
        <v>65</v>
      </c>
      <c r="C77" s="25" t="s">
        <v>430</v>
      </c>
      <c r="D77" s="30" t="s">
        <v>431</v>
      </c>
      <c r="E77" s="25" t="s">
        <v>35</v>
      </c>
      <c r="F77" s="25"/>
      <c r="G77" s="25" t="s">
        <v>303</v>
      </c>
    </row>
    <row r="78" spans="2:7" x14ac:dyDescent="0.15">
      <c r="B78" s="25">
        <v>66</v>
      </c>
      <c r="C78" s="25" t="s">
        <v>432</v>
      </c>
      <c r="D78" s="30" t="s">
        <v>389</v>
      </c>
      <c r="E78" s="25" t="s">
        <v>39</v>
      </c>
      <c r="F78" s="25">
        <v>20</v>
      </c>
      <c r="G78" s="25" t="s">
        <v>303</v>
      </c>
    </row>
    <row r="79" spans="2:7" x14ac:dyDescent="0.15">
      <c r="B79" s="25">
        <v>67</v>
      </c>
      <c r="C79" s="25" t="s">
        <v>433</v>
      </c>
      <c r="D79" s="30" t="s">
        <v>434</v>
      </c>
      <c r="E79" s="25" t="s">
        <v>39</v>
      </c>
      <c r="F79" s="25">
        <v>4</v>
      </c>
      <c r="G79" s="25" t="s">
        <v>303</v>
      </c>
    </row>
    <row r="80" spans="2:7" x14ac:dyDescent="0.15">
      <c r="B80" s="25">
        <v>68</v>
      </c>
      <c r="C80" s="25" t="s">
        <v>435</v>
      </c>
      <c r="D80" s="30" t="s">
        <v>436</v>
      </c>
      <c r="E80" s="25" t="s">
        <v>39</v>
      </c>
      <c r="F80" s="25">
        <v>30</v>
      </c>
      <c r="G80" s="25" t="s">
        <v>437</v>
      </c>
    </row>
    <row r="81" spans="2:7" x14ac:dyDescent="0.15">
      <c r="B81" s="25">
        <v>69</v>
      </c>
      <c r="C81" s="25" t="s">
        <v>438</v>
      </c>
      <c r="D81" s="30" t="s">
        <v>439</v>
      </c>
      <c r="E81" s="25" t="s">
        <v>39</v>
      </c>
      <c r="F81" s="25">
        <v>3</v>
      </c>
      <c r="G81" s="25" t="s">
        <v>303</v>
      </c>
    </row>
    <row r="82" spans="2:7" x14ac:dyDescent="0.15">
      <c r="B82" s="25">
        <v>70</v>
      </c>
      <c r="C82" s="25" t="s">
        <v>440</v>
      </c>
      <c r="D82" s="30" t="s">
        <v>441</v>
      </c>
      <c r="E82" s="25" t="s">
        <v>39</v>
      </c>
      <c r="F82" s="25">
        <v>30</v>
      </c>
      <c r="G82" s="25" t="s">
        <v>442</v>
      </c>
    </row>
    <row r="83" spans="2:7" x14ac:dyDescent="0.15">
      <c r="B83" s="25">
        <v>71</v>
      </c>
      <c r="C83" s="25" t="s">
        <v>443</v>
      </c>
      <c r="D83" s="30" t="s">
        <v>444</v>
      </c>
      <c r="E83" s="25" t="s">
        <v>39</v>
      </c>
      <c r="F83" s="25">
        <v>1</v>
      </c>
      <c r="G83" s="25" t="s">
        <v>303</v>
      </c>
    </row>
    <row r="84" spans="2:7" x14ac:dyDescent="0.15">
      <c r="B84" s="25">
        <v>72</v>
      </c>
      <c r="C84" s="25" t="s">
        <v>445</v>
      </c>
      <c r="D84" s="30" t="s">
        <v>446</v>
      </c>
      <c r="E84" s="25" t="s">
        <v>39</v>
      </c>
      <c r="F84" s="25">
        <v>15</v>
      </c>
      <c r="G84" s="25" t="s">
        <v>303</v>
      </c>
    </row>
    <row r="85" spans="2:7" x14ac:dyDescent="0.15">
      <c r="B85" s="25">
        <v>73</v>
      </c>
      <c r="C85" s="25" t="s">
        <v>447</v>
      </c>
      <c r="D85" s="30" t="s">
        <v>448</v>
      </c>
      <c r="E85" s="25" t="s">
        <v>39</v>
      </c>
      <c r="F85" s="25">
        <v>20</v>
      </c>
      <c r="G85" s="25" t="s">
        <v>303</v>
      </c>
    </row>
    <row r="86" spans="2:7" x14ac:dyDescent="0.15">
      <c r="B86" s="24">
        <v>74</v>
      </c>
      <c r="C86" s="24" t="s">
        <v>449</v>
      </c>
      <c r="D86" s="30" t="s">
        <v>450</v>
      </c>
      <c r="E86" s="24" t="s">
        <v>35</v>
      </c>
      <c r="F86" s="24"/>
      <c r="G86" s="24" t="s">
        <v>303</v>
      </c>
    </row>
    <row r="87" spans="2:7" x14ac:dyDescent="0.15">
      <c r="B87" s="24">
        <v>75</v>
      </c>
      <c r="C87" s="24" t="s">
        <v>451</v>
      </c>
      <c r="D87" s="30" t="s">
        <v>389</v>
      </c>
      <c r="E87" s="24" t="s">
        <v>39</v>
      </c>
      <c r="F87" s="24">
        <v>20</v>
      </c>
      <c r="G87" s="24" t="s">
        <v>303</v>
      </c>
    </row>
    <row r="88" spans="2:7" x14ac:dyDescent="0.15">
      <c r="B88" s="24">
        <v>76</v>
      </c>
      <c r="C88" s="24" t="s">
        <v>452</v>
      </c>
      <c r="D88" s="30" t="s">
        <v>453</v>
      </c>
      <c r="E88" s="24" t="s">
        <v>39</v>
      </c>
      <c r="F88" s="24">
        <v>4</v>
      </c>
      <c r="G88" s="24" t="s">
        <v>303</v>
      </c>
    </row>
    <row r="89" spans="2:7" x14ac:dyDescent="0.15">
      <c r="B89" s="24">
        <v>77</v>
      </c>
      <c r="C89" s="24" t="s">
        <v>454</v>
      </c>
      <c r="D89" s="30" t="s">
        <v>436</v>
      </c>
      <c r="E89" s="24" t="s">
        <v>39</v>
      </c>
      <c r="F89" s="24">
        <v>30</v>
      </c>
      <c r="G89" s="24" t="s">
        <v>437</v>
      </c>
    </row>
    <row r="90" spans="2:7" x14ac:dyDescent="0.15">
      <c r="B90" s="24">
        <v>78</v>
      </c>
      <c r="C90" s="24" t="s">
        <v>455</v>
      </c>
      <c r="D90" s="30" t="s">
        <v>456</v>
      </c>
      <c r="E90" s="24" t="s">
        <v>39</v>
      </c>
      <c r="F90" s="24">
        <v>3</v>
      </c>
      <c r="G90" s="24" t="s">
        <v>303</v>
      </c>
    </row>
    <row r="91" spans="2:7" x14ac:dyDescent="0.15">
      <c r="B91" s="24">
        <v>79</v>
      </c>
      <c r="C91" s="24" t="s">
        <v>457</v>
      </c>
      <c r="D91" s="30" t="s">
        <v>441</v>
      </c>
      <c r="E91" s="24" t="s">
        <v>39</v>
      </c>
      <c r="F91" s="24">
        <v>30</v>
      </c>
      <c r="G91" s="24" t="s">
        <v>442</v>
      </c>
    </row>
    <row r="92" spans="2:7" x14ac:dyDescent="0.15">
      <c r="B92" s="24">
        <v>80</v>
      </c>
      <c r="C92" s="24" t="s">
        <v>458</v>
      </c>
      <c r="D92" s="30" t="s">
        <v>459</v>
      </c>
      <c r="E92" s="24" t="s">
        <v>39</v>
      </c>
      <c r="F92" s="24">
        <v>1</v>
      </c>
      <c r="G92" s="24" t="s">
        <v>303</v>
      </c>
    </row>
    <row r="93" spans="2:7" x14ac:dyDescent="0.15">
      <c r="B93" s="24">
        <v>81</v>
      </c>
      <c r="C93" s="24" t="s">
        <v>460</v>
      </c>
      <c r="D93" s="30" t="s">
        <v>461</v>
      </c>
      <c r="E93" s="24" t="s">
        <v>39</v>
      </c>
      <c r="F93" s="24">
        <v>15</v>
      </c>
      <c r="G93" s="24" t="s">
        <v>303</v>
      </c>
    </row>
    <row r="94" spans="2:7" x14ac:dyDescent="0.15">
      <c r="B94" s="24">
        <v>82</v>
      </c>
      <c r="C94" s="24" t="s">
        <v>462</v>
      </c>
      <c r="D94" s="30" t="s">
        <v>463</v>
      </c>
      <c r="E94" s="24" t="s">
        <v>39</v>
      </c>
      <c r="F94" s="24">
        <v>20</v>
      </c>
      <c r="G94" s="24" t="s">
        <v>303</v>
      </c>
    </row>
    <row r="95" spans="2:7" x14ac:dyDescent="0.15">
      <c r="B95" s="24">
        <v>83</v>
      </c>
      <c r="C95" s="24" t="s">
        <v>464</v>
      </c>
      <c r="D95" s="30" t="s">
        <v>465</v>
      </c>
      <c r="E95" s="24" t="s">
        <v>35</v>
      </c>
      <c r="F95" s="24"/>
      <c r="G95" s="24" t="s">
        <v>303</v>
      </c>
    </row>
    <row r="96" spans="2:7" x14ac:dyDescent="0.15">
      <c r="B96" s="24">
        <v>84</v>
      </c>
      <c r="C96" s="24" t="s">
        <v>466</v>
      </c>
      <c r="D96" s="30" t="s">
        <v>389</v>
      </c>
      <c r="E96" s="24" t="s">
        <v>39</v>
      </c>
      <c r="F96" s="24">
        <v>20</v>
      </c>
      <c r="G96" s="24" t="s">
        <v>303</v>
      </c>
    </row>
    <row r="97" spans="2:7" x14ac:dyDescent="0.15">
      <c r="B97" s="24">
        <v>85</v>
      </c>
      <c r="C97" s="24" t="s">
        <v>467</v>
      </c>
      <c r="D97" s="30" t="s">
        <v>468</v>
      </c>
      <c r="E97" s="24" t="s">
        <v>39</v>
      </c>
      <c r="F97" s="24">
        <v>4</v>
      </c>
      <c r="G97" s="24" t="s">
        <v>303</v>
      </c>
    </row>
    <row r="98" spans="2:7" x14ac:dyDescent="0.15">
      <c r="B98" s="24">
        <v>86</v>
      </c>
      <c r="C98" s="24" t="s">
        <v>469</v>
      </c>
      <c r="D98" s="30" t="s">
        <v>436</v>
      </c>
      <c r="E98" s="24" t="s">
        <v>39</v>
      </c>
      <c r="F98" s="24">
        <v>30</v>
      </c>
      <c r="G98" s="24" t="s">
        <v>437</v>
      </c>
    </row>
    <row r="99" spans="2:7" x14ac:dyDescent="0.15">
      <c r="B99" s="24">
        <v>87</v>
      </c>
      <c r="C99" s="24" t="s">
        <v>470</v>
      </c>
      <c r="D99" s="30" t="s">
        <v>471</v>
      </c>
      <c r="E99" s="24" t="s">
        <v>39</v>
      </c>
      <c r="F99" s="24">
        <v>3</v>
      </c>
      <c r="G99" s="24" t="s">
        <v>303</v>
      </c>
    </row>
    <row r="100" spans="2:7" x14ac:dyDescent="0.15">
      <c r="B100" s="24">
        <v>88</v>
      </c>
      <c r="C100" s="24" t="s">
        <v>472</v>
      </c>
      <c r="D100" s="30" t="s">
        <v>441</v>
      </c>
      <c r="E100" s="24" t="s">
        <v>39</v>
      </c>
      <c r="F100" s="24">
        <v>30</v>
      </c>
      <c r="G100" s="24" t="s">
        <v>442</v>
      </c>
    </row>
    <row r="101" spans="2:7" x14ac:dyDescent="0.15">
      <c r="B101" s="24">
        <v>89</v>
      </c>
      <c r="C101" s="24" t="s">
        <v>473</v>
      </c>
      <c r="D101" s="30" t="s">
        <v>474</v>
      </c>
      <c r="E101" s="24" t="s">
        <v>39</v>
      </c>
      <c r="F101" s="24">
        <v>1</v>
      </c>
      <c r="G101" s="24" t="s">
        <v>303</v>
      </c>
    </row>
    <row r="102" spans="2:7" x14ac:dyDescent="0.15">
      <c r="B102" s="24">
        <v>90</v>
      </c>
      <c r="C102" s="24" t="s">
        <v>475</v>
      </c>
      <c r="D102" s="30" t="s">
        <v>476</v>
      </c>
      <c r="E102" s="24" t="s">
        <v>39</v>
      </c>
      <c r="F102" s="24">
        <v>15</v>
      </c>
      <c r="G102" s="24" t="s">
        <v>303</v>
      </c>
    </row>
    <row r="103" spans="2:7" x14ac:dyDescent="0.15">
      <c r="B103" s="24">
        <v>91</v>
      </c>
      <c r="C103" s="24" t="s">
        <v>477</v>
      </c>
      <c r="D103" s="30" t="s">
        <v>478</v>
      </c>
      <c r="E103" s="24" t="s">
        <v>39</v>
      </c>
      <c r="F103" s="24">
        <v>20</v>
      </c>
      <c r="G103" s="24" t="s">
        <v>303</v>
      </c>
    </row>
    <row r="104" spans="2:7" x14ac:dyDescent="0.15">
      <c r="B104" s="24">
        <v>92</v>
      </c>
      <c r="C104" s="24" t="s">
        <v>479</v>
      </c>
      <c r="D104" s="30" t="s">
        <v>480</v>
      </c>
      <c r="E104" s="24" t="s">
        <v>35</v>
      </c>
      <c r="F104" s="24"/>
      <c r="G104" s="24" t="s">
        <v>303</v>
      </c>
    </row>
    <row r="105" spans="2:7" x14ac:dyDescent="0.15">
      <c r="B105" s="24">
        <v>93</v>
      </c>
      <c r="C105" s="24" t="s">
        <v>481</v>
      </c>
      <c r="D105" s="30" t="s">
        <v>389</v>
      </c>
      <c r="E105" s="24" t="s">
        <v>39</v>
      </c>
      <c r="F105" s="24">
        <v>20</v>
      </c>
      <c r="G105" s="24" t="s">
        <v>303</v>
      </c>
    </row>
    <row r="106" spans="2:7" x14ac:dyDescent="0.15">
      <c r="B106" s="24">
        <v>94</v>
      </c>
      <c r="C106" s="24" t="s">
        <v>482</v>
      </c>
      <c r="D106" s="30" t="s">
        <v>483</v>
      </c>
      <c r="E106" s="24" t="s">
        <v>39</v>
      </c>
      <c r="F106" s="24">
        <v>4</v>
      </c>
      <c r="G106" s="24" t="s">
        <v>303</v>
      </c>
    </row>
    <row r="107" spans="2:7" x14ac:dyDescent="0.15">
      <c r="B107" s="24">
        <v>95</v>
      </c>
      <c r="C107" s="24" t="s">
        <v>484</v>
      </c>
      <c r="D107" s="30" t="s">
        <v>436</v>
      </c>
      <c r="E107" s="24" t="s">
        <v>39</v>
      </c>
      <c r="F107" s="24">
        <v>30</v>
      </c>
      <c r="G107" s="24" t="s">
        <v>437</v>
      </c>
    </row>
    <row r="108" spans="2:7" x14ac:dyDescent="0.15">
      <c r="B108" s="24">
        <v>96</v>
      </c>
      <c r="C108" s="24" t="s">
        <v>485</v>
      </c>
      <c r="D108" s="30" t="s">
        <v>486</v>
      </c>
      <c r="E108" s="24" t="s">
        <v>39</v>
      </c>
      <c r="F108" s="24">
        <v>3</v>
      </c>
      <c r="G108" s="24" t="s">
        <v>303</v>
      </c>
    </row>
    <row r="109" spans="2:7" x14ac:dyDescent="0.15">
      <c r="B109" s="24">
        <v>97</v>
      </c>
      <c r="C109" s="24" t="s">
        <v>487</v>
      </c>
      <c r="D109" s="30" t="s">
        <v>441</v>
      </c>
      <c r="E109" s="24" t="s">
        <v>39</v>
      </c>
      <c r="F109" s="24">
        <v>30</v>
      </c>
      <c r="G109" s="24" t="s">
        <v>442</v>
      </c>
    </row>
    <row r="110" spans="2:7" x14ac:dyDescent="0.15">
      <c r="B110" s="24">
        <v>98</v>
      </c>
      <c r="C110" s="24" t="s">
        <v>488</v>
      </c>
      <c r="D110" s="30" t="s">
        <v>489</v>
      </c>
      <c r="E110" s="24" t="s">
        <v>39</v>
      </c>
      <c r="F110" s="24">
        <v>1</v>
      </c>
      <c r="G110" s="24" t="s">
        <v>303</v>
      </c>
    </row>
    <row r="111" spans="2:7" x14ac:dyDescent="0.15">
      <c r="B111" s="24">
        <v>99</v>
      </c>
      <c r="C111" s="24" t="s">
        <v>490</v>
      </c>
      <c r="D111" s="30" t="s">
        <v>491</v>
      </c>
      <c r="E111" s="24" t="s">
        <v>39</v>
      </c>
      <c r="F111" s="24">
        <v>15</v>
      </c>
      <c r="G111" s="24" t="s">
        <v>303</v>
      </c>
    </row>
    <row r="112" spans="2:7" x14ac:dyDescent="0.15">
      <c r="B112" s="24">
        <v>100</v>
      </c>
      <c r="C112" s="24" t="s">
        <v>492</v>
      </c>
      <c r="D112" s="30" t="s">
        <v>493</v>
      </c>
      <c r="E112" s="24" t="s">
        <v>39</v>
      </c>
      <c r="F112" s="24">
        <v>20</v>
      </c>
      <c r="G112" s="24" t="s">
        <v>303</v>
      </c>
    </row>
    <row r="113" spans="2:7" x14ac:dyDescent="0.15">
      <c r="B113" s="24">
        <v>101</v>
      </c>
      <c r="C113" s="24" t="s">
        <v>494</v>
      </c>
      <c r="D113" s="30" t="s">
        <v>495</v>
      </c>
      <c r="E113" s="24" t="s">
        <v>35</v>
      </c>
      <c r="F113" s="24"/>
      <c r="G113" s="24" t="s">
        <v>303</v>
      </c>
    </row>
    <row r="114" spans="2:7" x14ac:dyDescent="0.15">
      <c r="B114" s="24">
        <v>102</v>
      </c>
      <c r="C114" s="24" t="s">
        <v>496</v>
      </c>
      <c r="D114" s="30" t="s">
        <v>497</v>
      </c>
      <c r="E114" s="24" t="s">
        <v>158</v>
      </c>
      <c r="F114" s="24" t="s">
        <v>407</v>
      </c>
      <c r="G114" s="24" t="s">
        <v>303</v>
      </c>
    </row>
    <row r="115" spans="2:7" x14ac:dyDescent="0.15">
      <c r="B115" s="24">
        <v>103</v>
      </c>
      <c r="C115" s="24" t="s">
        <v>498</v>
      </c>
      <c r="D115" s="30" t="s">
        <v>499</v>
      </c>
      <c r="E115" s="24" t="s">
        <v>35</v>
      </c>
      <c r="F115" s="24"/>
      <c r="G115" s="24" t="s">
        <v>303</v>
      </c>
    </row>
    <row r="116" spans="2:7" x14ac:dyDescent="0.15">
      <c r="B116" s="24">
        <v>104</v>
      </c>
      <c r="C116" s="24" t="s">
        <v>500</v>
      </c>
      <c r="D116" s="30" t="s">
        <v>501</v>
      </c>
      <c r="E116" s="24" t="s">
        <v>35</v>
      </c>
      <c r="F116" s="24"/>
      <c r="G116" s="24" t="s">
        <v>303</v>
      </c>
    </row>
    <row r="117" spans="2:7" x14ac:dyDescent="0.15">
      <c r="B117" s="24">
        <v>105</v>
      </c>
      <c r="C117" s="24" t="s">
        <v>502</v>
      </c>
      <c r="D117" s="30" t="s">
        <v>503</v>
      </c>
      <c r="E117" s="24" t="s">
        <v>35</v>
      </c>
      <c r="F117" s="24"/>
      <c r="G117" s="24" t="s">
        <v>303</v>
      </c>
    </row>
    <row r="118" spans="2:7" x14ac:dyDescent="0.15">
      <c r="B118" s="24">
        <v>106</v>
      </c>
      <c r="C118" s="24" t="s">
        <v>504</v>
      </c>
      <c r="D118" s="30" t="s">
        <v>505</v>
      </c>
      <c r="E118" s="24" t="s">
        <v>39</v>
      </c>
      <c r="F118" s="24">
        <v>40</v>
      </c>
      <c r="G118" s="24"/>
    </row>
    <row r="119" spans="2:7" x14ac:dyDescent="0.15">
      <c r="B119" s="24">
        <v>107</v>
      </c>
      <c r="C119" s="24" t="s">
        <v>506</v>
      </c>
      <c r="D119" s="30" t="s">
        <v>507</v>
      </c>
      <c r="E119" s="24" t="s">
        <v>35</v>
      </c>
      <c r="F119" s="24"/>
      <c r="G119" s="24"/>
    </row>
    <row r="120" spans="2:7" x14ac:dyDescent="0.15">
      <c r="B120" s="24">
        <v>108</v>
      </c>
      <c r="C120" s="24" t="s">
        <v>508</v>
      </c>
      <c r="D120" s="30" t="s">
        <v>509</v>
      </c>
      <c r="E120" s="24" t="s">
        <v>35</v>
      </c>
      <c r="F120" s="24"/>
      <c r="G120" s="24"/>
    </row>
    <row r="121" spans="2:7" x14ac:dyDescent="0.15">
      <c r="B121" s="24">
        <v>109</v>
      </c>
      <c r="C121" s="24" t="s">
        <v>510</v>
      </c>
      <c r="D121" s="30" t="s">
        <v>511</v>
      </c>
      <c r="E121" s="24" t="s">
        <v>39</v>
      </c>
      <c r="F121" s="24">
        <v>20</v>
      </c>
      <c r="G121" s="24"/>
    </row>
    <row r="122" spans="2:7" x14ac:dyDescent="0.15">
      <c r="B122" s="24">
        <v>110</v>
      </c>
      <c r="C122" s="24" t="s">
        <v>512</v>
      </c>
      <c r="D122" s="30" t="s">
        <v>513</v>
      </c>
      <c r="E122" s="24" t="s">
        <v>35</v>
      </c>
      <c r="F122" s="24"/>
      <c r="G122" s="24"/>
    </row>
    <row r="123" spans="2:7" x14ac:dyDescent="0.15">
      <c r="B123" s="24">
        <v>111</v>
      </c>
      <c r="C123" s="24" t="s">
        <v>514</v>
      </c>
      <c r="D123" s="30" t="s">
        <v>515</v>
      </c>
      <c r="E123" s="24" t="s">
        <v>306</v>
      </c>
      <c r="F123" s="24"/>
      <c r="G123" s="24"/>
    </row>
    <row r="124" spans="2:7" x14ac:dyDescent="0.15">
      <c r="B124" s="24">
        <v>112</v>
      </c>
      <c r="C124" s="24" t="s">
        <v>516</v>
      </c>
      <c r="D124" s="30" t="s">
        <v>517</v>
      </c>
      <c r="E124" s="24" t="s">
        <v>39</v>
      </c>
      <c r="F124" s="24">
        <v>20</v>
      </c>
      <c r="G124" s="24"/>
    </row>
    <row r="125" spans="2:7" x14ac:dyDescent="0.15">
      <c r="B125" s="24">
        <v>113</v>
      </c>
      <c r="C125" s="24" t="s">
        <v>518</v>
      </c>
      <c r="D125" s="30" t="s">
        <v>519</v>
      </c>
      <c r="E125" s="24" t="s">
        <v>39</v>
      </c>
      <c r="F125" s="24">
        <v>20</v>
      </c>
      <c r="G125" s="24"/>
    </row>
    <row r="126" spans="2:7" x14ac:dyDescent="0.15">
      <c r="B126" s="24">
        <v>114</v>
      </c>
      <c r="C126" s="24" t="s">
        <v>520</v>
      </c>
      <c r="D126" s="30" t="s">
        <v>521</v>
      </c>
      <c r="E126" s="24" t="s">
        <v>39</v>
      </c>
      <c r="F126" s="24">
        <v>40</v>
      </c>
      <c r="G126" s="24"/>
    </row>
    <row r="127" spans="2:7" x14ac:dyDescent="0.15">
      <c r="B127" s="24">
        <v>115</v>
      </c>
      <c r="C127" s="24" t="s">
        <v>522</v>
      </c>
      <c r="D127" s="30" t="s">
        <v>523</v>
      </c>
      <c r="E127" s="24" t="s">
        <v>39</v>
      </c>
      <c r="F127" s="24">
        <v>40</v>
      </c>
      <c r="G127" s="24"/>
    </row>
    <row r="128" spans="2:7" x14ac:dyDescent="0.15">
      <c r="B128" s="24">
        <v>116</v>
      </c>
      <c r="C128" s="24" t="s">
        <v>524</v>
      </c>
      <c r="D128" s="30" t="s">
        <v>525</v>
      </c>
      <c r="E128" s="24" t="s">
        <v>306</v>
      </c>
      <c r="F128" s="24"/>
      <c r="G128" s="24"/>
    </row>
    <row r="129" spans="2:7" x14ac:dyDescent="0.15">
      <c r="B129" s="24">
        <v>117</v>
      </c>
      <c r="C129" s="24" t="s">
        <v>526</v>
      </c>
      <c r="D129" s="30" t="s">
        <v>527</v>
      </c>
      <c r="E129" s="24" t="s">
        <v>306</v>
      </c>
      <c r="F129" s="24"/>
      <c r="G129" s="24"/>
    </row>
    <row r="130" spans="2:7" x14ac:dyDescent="0.15">
      <c r="B130" s="24">
        <v>118</v>
      </c>
      <c r="C130" s="24" t="s">
        <v>528</v>
      </c>
      <c r="D130" s="30" t="s">
        <v>529</v>
      </c>
      <c r="E130" s="24" t="s">
        <v>35</v>
      </c>
      <c r="F130" s="24"/>
      <c r="G130" s="24"/>
    </row>
  </sheetData>
  <phoneticPr fontId="1"/>
  <pageMargins left="0.25" right="0.25" top="0.75" bottom="0.75" header="0.3" footer="0.3"/>
  <pageSetup paperSize="9" scale="46" orientation="portrait" verticalDpi="30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9"/>
  <dimension ref="B2:K46"/>
  <sheetViews>
    <sheetView zoomScale="85" zoomScaleNormal="85" workbookViewId="0"/>
  </sheetViews>
  <sheetFormatPr defaultColWidth="2.25" defaultRowHeight="13.5" x14ac:dyDescent="0.15"/>
  <cols>
    <col min="1" max="3" width="2.25" style="18"/>
    <col min="4" max="4" width="3.75" style="18" bestFit="1" customWidth="1"/>
    <col min="5" max="5" width="22" style="18" bestFit="1" customWidth="1"/>
    <col min="6" max="6" width="9.75" style="18" bestFit="1" customWidth="1"/>
    <col min="7" max="7" width="11.375" style="18" bestFit="1" customWidth="1"/>
    <col min="8" max="8" width="4.5" style="18" bestFit="1" customWidth="1"/>
    <col min="9" max="9" width="22.25" style="18" bestFit="1" customWidth="1"/>
    <col min="10" max="10" width="44.5" style="18" bestFit="1" customWidth="1"/>
    <col min="11" max="11" width="53" style="18" bestFit="1" customWidth="1"/>
    <col min="12" max="16384" width="2.25" style="18"/>
  </cols>
  <sheetData>
    <row r="2" spans="2:11" x14ac:dyDescent="0.15">
      <c r="B2" s="5" t="s">
        <v>653</v>
      </c>
      <c r="C2" s="5"/>
    </row>
    <row r="3" spans="2:11" x14ac:dyDescent="0.15">
      <c r="B3" s="5"/>
      <c r="C3" s="5"/>
    </row>
    <row r="4" spans="2:11" x14ac:dyDescent="0.15">
      <c r="B4" s="5"/>
      <c r="C4" s="18" t="s">
        <v>737</v>
      </c>
    </row>
    <row r="6" spans="2:11" x14ac:dyDescent="0.15">
      <c r="D6" s="18" t="s">
        <v>684</v>
      </c>
    </row>
    <row r="7" spans="2:11" x14ac:dyDescent="0.15">
      <c r="D7" s="31" t="s">
        <v>683</v>
      </c>
    </row>
    <row r="8" spans="2:11" x14ac:dyDescent="0.15">
      <c r="D8" s="31"/>
    </row>
    <row r="9" spans="2:11" x14ac:dyDescent="0.15">
      <c r="C9" s="18" t="s">
        <v>735</v>
      </c>
    </row>
    <row r="10" spans="2:11" x14ac:dyDescent="0.15">
      <c r="D10" s="18" t="s">
        <v>685</v>
      </c>
    </row>
    <row r="12" spans="2:11" x14ac:dyDescent="0.15">
      <c r="D12" s="32" t="s">
        <v>654</v>
      </c>
      <c r="E12" s="32" t="s">
        <v>655</v>
      </c>
      <c r="F12" s="32" t="s">
        <v>656</v>
      </c>
      <c r="G12" s="32" t="s">
        <v>657</v>
      </c>
      <c r="H12" s="32" t="s">
        <v>658</v>
      </c>
      <c r="I12" s="32" t="s">
        <v>659</v>
      </c>
      <c r="J12" s="32" t="s">
        <v>660</v>
      </c>
      <c r="K12" s="32" t="s">
        <v>661</v>
      </c>
    </row>
    <row r="13" spans="2:11" ht="27" x14ac:dyDescent="0.15">
      <c r="D13" s="24">
        <v>1</v>
      </c>
      <c r="E13" s="24" t="s">
        <v>134</v>
      </c>
      <c r="F13" s="57" t="s">
        <v>133</v>
      </c>
      <c r="G13" s="58" t="s">
        <v>662</v>
      </c>
      <c r="H13" s="58" t="s">
        <v>663</v>
      </c>
      <c r="I13" s="59" t="s">
        <v>664</v>
      </c>
      <c r="J13" s="66" t="s">
        <v>731</v>
      </c>
      <c r="K13" s="66" t="s">
        <v>724</v>
      </c>
    </row>
    <row r="14" spans="2:11" x14ac:dyDescent="0.15">
      <c r="D14" s="30">
        <v>2</v>
      </c>
      <c r="E14" s="30" t="s">
        <v>305</v>
      </c>
      <c r="F14" s="63" t="s">
        <v>304</v>
      </c>
      <c r="G14" s="65" t="s">
        <v>306</v>
      </c>
      <c r="H14" s="65" t="s">
        <v>663</v>
      </c>
      <c r="I14" s="59" t="s">
        <v>665</v>
      </c>
      <c r="J14" s="66" t="s">
        <v>732</v>
      </c>
      <c r="K14" s="66" t="s">
        <v>723</v>
      </c>
    </row>
    <row r="15" spans="2:11" x14ac:dyDescent="0.15">
      <c r="D15" s="24">
        <v>7</v>
      </c>
      <c r="E15" s="24" t="s">
        <v>315</v>
      </c>
      <c r="F15" s="57" t="s">
        <v>314</v>
      </c>
      <c r="G15" s="58" t="s">
        <v>667</v>
      </c>
      <c r="H15" s="58" t="s">
        <v>663</v>
      </c>
      <c r="I15" s="59" t="s">
        <v>668</v>
      </c>
      <c r="J15" s="66"/>
      <c r="K15" s="66"/>
    </row>
    <row r="16" spans="2:11" x14ac:dyDescent="0.15">
      <c r="D16" s="24">
        <v>8</v>
      </c>
      <c r="E16" s="24" t="s">
        <v>317</v>
      </c>
      <c r="F16" s="57" t="s">
        <v>316</v>
      </c>
      <c r="G16" s="58" t="s">
        <v>666</v>
      </c>
      <c r="H16" s="58" t="s">
        <v>663</v>
      </c>
      <c r="I16" s="59" t="s">
        <v>669</v>
      </c>
      <c r="J16" s="66"/>
      <c r="K16" s="66"/>
    </row>
    <row r="17" spans="3:11" x14ac:dyDescent="0.15">
      <c r="D17" s="24">
        <v>9</v>
      </c>
      <c r="E17" s="24" t="s">
        <v>319</v>
      </c>
      <c r="F17" s="57" t="s">
        <v>318</v>
      </c>
      <c r="G17" s="58" t="s">
        <v>666</v>
      </c>
      <c r="H17" s="58" t="s">
        <v>663</v>
      </c>
      <c r="I17" s="59" t="s">
        <v>670</v>
      </c>
      <c r="J17" s="66"/>
      <c r="K17" s="66"/>
    </row>
    <row r="18" spans="3:11" x14ac:dyDescent="0.15">
      <c r="D18" s="24">
        <v>10</v>
      </c>
      <c r="E18" s="24" t="s">
        <v>321</v>
      </c>
      <c r="F18" s="57" t="s">
        <v>320</v>
      </c>
      <c r="G18" s="58" t="s">
        <v>671</v>
      </c>
      <c r="H18" s="58" t="s">
        <v>663</v>
      </c>
      <c r="I18" s="59" t="s">
        <v>672</v>
      </c>
      <c r="J18" s="66"/>
      <c r="K18" s="66"/>
    </row>
    <row r="19" spans="3:11" x14ac:dyDescent="0.15">
      <c r="D19" s="24">
        <v>11</v>
      </c>
      <c r="E19" s="24" t="s">
        <v>323</v>
      </c>
      <c r="F19" s="57" t="s">
        <v>322</v>
      </c>
      <c r="G19" s="58" t="s">
        <v>671</v>
      </c>
      <c r="H19" s="58" t="s">
        <v>663</v>
      </c>
      <c r="I19" s="59" t="s">
        <v>673</v>
      </c>
      <c r="J19" s="66"/>
      <c r="K19" s="66"/>
    </row>
    <row r="20" spans="3:11" x14ac:dyDescent="0.15">
      <c r="D20" s="30">
        <v>28</v>
      </c>
      <c r="E20" s="30" t="s">
        <v>360</v>
      </c>
      <c r="F20" s="63" t="s">
        <v>696</v>
      </c>
      <c r="G20" s="65" t="s">
        <v>35</v>
      </c>
      <c r="H20" s="65" t="s">
        <v>674</v>
      </c>
      <c r="I20" s="60" t="s">
        <v>697</v>
      </c>
      <c r="J20" s="66" t="s">
        <v>733</v>
      </c>
      <c r="K20" s="66" t="s">
        <v>722</v>
      </c>
    </row>
    <row r="21" spans="3:11" x14ac:dyDescent="0.15">
      <c r="D21" s="30">
        <v>33</v>
      </c>
      <c r="E21" s="30" t="s">
        <v>371</v>
      </c>
      <c r="F21" s="63" t="s">
        <v>698</v>
      </c>
      <c r="G21" s="65" t="s">
        <v>35</v>
      </c>
      <c r="H21" s="65" t="s">
        <v>674</v>
      </c>
      <c r="I21" s="60" t="s">
        <v>699</v>
      </c>
      <c r="J21" s="66" t="s">
        <v>686</v>
      </c>
      <c r="K21" s="66" t="s">
        <v>734</v>
      </c>
    </row>
    <row r="22" spans="3:11" ht="27" x14ac:dyDescent="0.15">
      <c r="D22" s="24">
        <v>38</v>
      </c>
      <c r="E22" s="24" t="s">
        <v>381</v>
      </c>
      <c r="F22" s="57" t="s">
        <v>380</v>
      </c>
      <c r="G22" s="58" t="s">
        <v>35</v>
      </c>
      <c r="H22" s="58" t="s">
        <v>674</v>
      </c>
      <c r="I22" s="61" t="s">
        <v>721</v>
      </c>
      <c r="J22" s="66"/>
      <c r="K22" s="66"/>
    </row>
    <row r="23" spans="3:11" x14ac:dyDescent="0.15">
      <c r="D23" s="24">
        <v>40</v>
      </c>
      <c r="E23" s="24" t="s">
        <v>385</v>
      </c>
      <c r="F23" s="57" t="s">
        <v>384</v>
      </c>
      <c r="G23" s="58" t="s">
        <v>35</v>
      </c>
      <c r="H23" s="58" t="s">
        <v>674</v>
      </c>
      <c r="I23" s="61" t="s">
        <v>675</v>
      </c>
      <c r="J23" s="66"/>
      <c r="K23" s="66"/>
    </row>
    <row r="24" spans="3:11" x14ac:dyDescent="0.15">
      <c r="D24" s="30">
        <v>41</v>
      </c>
      <c r="E24" s="30" t="s">
        <v>387</v>
      </c>
      <c r="F24" s="63" t="s">
        <v>386</v>
      </c>
      <c r="G24" s="65" t="s">
        <v>35</v>
      </c>
      <c r="H24" s="65" t="s">
        <v>674</v>
      </c>
      <c r="I24" s="61" t="s">
        <v>676</v>
      </c>
      <c r="J24" s="66"/>
      <c r="K24" s="66" t="s">
        <v>725</v>
      </c>
    </row>
    <row r="25" spans="3:11" x14ac:dyDescent="0.15">
      <c r="D25" s="24">
        <v>43</v>
      </c>
      <c r="E25" s="24" t="s">
        <v>391</v>
      </c>
      <c r="F25" s="57" t="s">
        <v>390</v>
      </c>
      <c r="G25" s="58" t="s">
        <v>678</v>
      </c>
      <c r="H25" s="58" t="s">
        <v>674</v>
      </c>
      <c r="I25" s="61" t="s">
        <v>679</v>
      </c>
      <c r="J25" s="66"/>
      <c r="K25" s="66"/>
    </row>
    <row r="26" spans="3:11" x14ac:dyDescent="0.15">
      <c r="D26" s="45" t="s">
        <v>716</v>
      </c>
      <c r="E26" s="24" t="s">
        <v>718</v>
      </c>
      <c r="F26" s="57" t="s">
        <v>717</v>
      </c>
      <c r="G26" s="58" t="s">
        <v>35</v>
      </c>
      <c r="H26" s="24" t="s">
        <v>719</v>
      </c>
      <c r="I26" s="62" t="s">
        <v>720</v>
      </c>
      <c r="J26" s="66" t="s">
        <v>677</v>
      </c>
      <c r="K26" s="67" t="s">
        <v>730</v>
      </c>
    </row>
    <row r="28" spans="3:11" x14ac:dyDescent="0.15">
      <c r="C28" s="18" t="s">
        <v>736</v>
      </c>
    </row>
    <row r="29" spans="3:11" x14ac:dyDescent="0.15">
      <c r="D29" s="18" t="s">
        <v>685</v>
      </c>
    </row>
    <row r="31" spans="3:11" x14ac:dyDescent="0.15">
      <c r="D31" s="32" t="s">
        <v>700</v>
      </c>
      <c r="E31" s="32" t="s">
        <v>655</v>
      </c>
      <c r="F31" s="32" t="s">
        <v>656</v>
      </c>
      <c r="G31" s="32" t="s">
        <v>657</v>
      </c>
      <c r="H31" s="32" t="s">
        <v>701</v>
      </c>
      <c r="I31" s="32" t="s">
        <v>659</v>
      </c>
      <c r="J31" s="32" t="s">
        <v>660</v>
      </c>
      <c r="K31" s="32" t="s">
        <v>661</v>
      </c>
    </row>
    <row r="32" spans="3:11" ht="27" x14ac:dyDescent="0.15">
      <c r="D32" s="57">
        <v>1</v>
      </c>
      <c r="E32" s="26" t="s">
        <v>134</v>
      </c>
      <c r="F32" s="57" t="s">
        <v>133</v>
      </c>
      <c r="G32" s="57" t="s">
        <v>662</v>
      </c>
      <c r="H32" s="57" t="s">
        <v>663</v>
      </c>
      <c r="I32" s="59" t="s">
        <v>702</v>
      </c>
      <c r="J32" s="66" t="s">
        <v>729</v>
      </c>
      <c r="K32" s="66" t="s">
        <v>724</v>
      </c>
    </row>
    <row r="33" spans="4:11" x14ac:dyDescent="0.15">
      <c r="D33" s="63">
        <v>2</v>
      </c>
      <c r="E33" s="35" t="s">
        <v>726</v>
      </c>
      <c r="F33" s="63" t="s">
        <v>304</v>
      </c>
      <c r="G33" s="63" t="s">
        <v>306</v>
      </c>
      <c r="H33" s="63" t="s">
        <v>663</v>
      </c>
      <c r="I33" s="59" t="s">
        <v>665</v>
      </c>
      <c r="J33" s="68" t="s">
        <v>728</v>
      </c>
      <c r="K33" s="66" t="s">
        <v>723</v>
      </c>
    </row>
    <row r="34" spans="4:11" x14ac:dyDescent="0.15">
      <c r="D34" s="63">
        <v>7</v>
      </c>
      <c r="E34" s="35" t="s">
        <v>703</v>
      </c>
      <c r="F34" s="63" t="s">
        <v>690</v>
      </c>
      <c r="G34" s="63" t="s">
        <v>35</v>
      </c>
      <c r="H34" s="63" t="s">
        <v>663</v>
      </c>
      <c r="I34" s="64" t="s">
        <v>704</v>
      </c>
      <c r="J34" s="67" t="s">
        <v>727</v>
      </c>
      <c r="K34" s="66" t="s">
        <v>722</v>
      </c>
    </row>
    <row r="35" spans="4:11" x14ac:dyDescent="0.15">
      <c r="D35" s="57">
        <v>8</v>
      </c>
      <c r="E35" s="56" t="s">
        <v>612</v>
      </c>
      <c r="F35" s="57" t="s">
        <v>611</v>
      </c>
      <c r="G35" s="57" t="s">
        <v>680</v>
      </c>
      <c r="H35" s="57" t="s">
        <v>663</v>
      </c>
      <c r="I35" s="64" t="s">
        <v>705</v>
      </c>
      <c r="J35" s="57"/>
      <c r="K35" s="57"/>
    </row>
    <row r="36" spans="4:11" x14ac:dyDescent="0.15">
      <c r="D36" s="57">
        <v>10</v>
      </c>
      <c r="E36" s="56" t="s">
        <v>615</v>
      </c>
      <c r="F36" s="57" t="s">
        <v>614</v>
      </c>
      <c r="G36" s="57" t="s">
        <v>681</v>
      </c>
      <c r="H36" s="57" t="s">
        <v>663</v>
      </c>
      <c r="I36" s="64" t="s">
        <v>691</v>
      </c>
      <c r="J36" s="57"/>
      <c r="K36" s="57"/>
    </row>
    <row r="37" spans="4:11" ht="27" x14ac:dyDescent="0.15">
      <c r="D37" s="57">
        <v>12</v>
      </c>
      <c r="E37" s="56" t="s">
        <v>618</v>
      </c>
      <c r="F37" s="57" t="s">
        <v>617</v>
      </c>
      <c r="G37" s="57" t="s">
        <v>682</v>
      </c>
      <c r="H37" s="57" t="s">
        <v>663</v>
      </c>
      <c r="I37" s="64" t="s">
        <v>706</v>
      </c>
      <c r="J37" s="57"/>
      <c r="K37" s="57"/>
    </row>
    <row r="38" spans="4:11" x14ac:dyDescent="0.15">
      <c r="D38" s="57">
        <v>13</v>
      </c>
      <c r="E38" s="56" t="s">
        <v>553</v>
      </c>
      <c r="F38" s="57" t="s">
        <v>619</v>
      </c>
      <c r="G38" s="57" t="s">
        <v>671</v>
      </c>
      <c r="H38" s="57" t="s">
        <v>663</v>
      </c>
      <c r="I38" s="64" t="s">
        <v>707</v>
      </c>
      <c r="J38" s="57"/>
      <c r="K38" s="57"/>
    </row>
    <row r="39" spans="4:11" x14ac:dyDescent="0.15">
      <c r="D39" s="57">
        <v>14</v>
      </c>
      <c r="E39" s="56" t="s">
        <v>621</v>
      </c>
      <c r="F39" s="57" t="s">
        <v>620</v>
      </c>
      <c r="G39" s="57" t="s">
        <v>666</v>
      </c>
      <c r="H39" s="57" t="s">
        <v>663</v>
      </c>
      <c r="I39" s="64" t="s">
        <v>692</v>
      </c>
      <c r="J39" s="57"/>
      <c r="K39" s="57"/>
    </row>
    <row r="40" spans="4:11" x14ac:dyDescent="0.15">
      <c r="D40" s="57">
        <v>15</v>
      </c>
      <c r="E40" s="56" t="s">
        <v>623</v>
      </c>
      <c r="F40" s="57" t="s">
        <v>622</v>
      </c>
      <c r="G40" s="57" t="s">
        <v>666</v>
      </c>
      <c r="H40" s="57" t="s">
        <v>663</v>
      </c>
      <c r="I40" s="64" t="s">
        <v>693</v>
      </c>
      <c r="J40" s="57"/>
      <c r="K40" s="57"/>
    </row>
    <row r="41" spans="4:11" x14ac:dyDescent="0.15">
      <c r="D41" s="57">
        <v>16</v>
      </c>
      <c r="E41" s="56" t="s">
        <v>555</v>
      </c>
      <c r="F41" s="57" t="s">
        <v>624</v>
      </c>
      <c r="G41" s="57" t="s">
        <v>35</v>
      </c>
      <c r="H41" s="57" t="s">
        <v>663</v>
      </c>
      <c r="I41" s="64" t="s">
        <v>694</v>
      </c>
      <c r="J41" s="57"/>
      <c r="K41" s="57"/>
    </row>
    <row r="42" spans="4:11" x14ac:dyDescent="0.15">
      <c r="D42" s="57">
        <v>17</v>
      </c>
      <c r="E42" s="56" t="s">
        <v>708</v>
      </c>
      <c r="F42" s="57" t="s">
        <v>625</v>
      </c>
      <c r="G42" s="57" t="s">
        <v>682</v>
      </c>
      <c r="H42" s="57" t="s">
        <v>663</v>
      </c>
      <c r="I42" s="64" t="s">
        <v>695</v>
      </c>
      <c r="J42" s="57"/>
      <c r="K42" s="57"/>
    </row>
    <row r="44" spans="4:11" x14ac:dyDescent="0.15">
      <c r="I44" s="33"/>
      <c r="J44" s="33"/>
      <c r="K44" s="33"/>
    </row>
    <row r="45" spans="4:11" x14ac:dyDescent="0.15">
      <c r="I45" s="33"/>
      <c r="J45" s="33"/>
      <c r="K45" s="33"/>
    </row>
    <row r="46" spans="4:11" x14ac:dyDescent="0.15">
      <c r="K46" s="33"/>
    </row>
  </sheetData>
  <phoneticPr fontId="1"/>
  <hyperlinks>
    <hyperlink ref="D7" r:id="rId1" xr:uid="{00000000-0004-0000-1900-000000000000}"/>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8">
    <pageSetUpPr fitToPage="1"/>
  </sheetPr>
  <dimension ref="B2:J29"/>
  <sheetViews>
    <sheetView view="pageBreakPreview" zoomScaleSheetLayoutView="100" workbookViewId="0"/>
  </sheetViews>
  <sheetFormatPr defaultRowHeight="13.5" x14ac:dyDescent="0.15"/>
  <cols>
    <col min="1" max="3" width="2.25" customWidth="1"/>
    <col min="4" max="4" width="4.5" bestFit="1" customWidth="1"/>
    <col min="5" max="5" width="26.625" bestFit="1" customWidth="1"/>
    <col min="6" max="6" width="18.875" bestFit="1" customWidth="1"/>
    <col min="7" max="7" width="2.25" customWidth="1"/>
    <col min="8" max="8" width="26.625" bestFit="1" customWidth="1"/>
    <col min="9" max="9" width="31.25" bestFit="1" customWidth="1"/>
  </cols>
  <sheetData>
    <row r="2" spans="2:10" x14ac:dyDescent="0.15">
      <c r="B2" s="5" t="s">
        <v>238</v>
      </c>
    </row>
    <row r="3" spans="2:10" x14ac:dyDescent="0.15">
      <c r="B3" s="5"/>
    </row>
    <row r="4" spans="2:10" x14ac:dyDescent="0.15">
      <c r="B4" s="5"/>
      <c r="C4" s="5" t="s">
        <v>239</v>
      </c>
    </row>
    <row r="5" spans="2:10" x14ac:dyDescent="0.15">
      <c r="B5" s="5"/>
      <c r="D5" t="s">
        <v>240</v>
      </c>
    </row>
    <row r="6" spans="2:10" x14ac:dyDescent="0.15">
      <c r="B6" s="5"/>
      <c r="D6" t="s">
        <v>241</v>
      </c>
    </row>
    <row r="7" spans="2:10" x14ac:dyDescent="0.15">
      <c r="B7" s="5"/>
      <c r="D7" t="s">
        <v>243</v>
      </c>
    </row>
    <row r="8" spans="2:10" x14ac:dyDescent="0.15">
      <c r="B8" s="5"/>
    </row>
    <row r="9" spans="2:10" x14ac:dyDescent="0.15">
      <c r="B9" s="5"/>
      <c r="D9" t="s">
        <v>290</v>
      </c>
    </row>
    <row r="10" spans="2:10" x14ac:dyDescent="0.15">
      <c r="C10" s="18"/>
      <c r="D10" s="18" t="s">
        <v>242</v>
      </c>
    </row>
    <row r="11" spans="2:10" x14ac:dyDescent="0.15">
      <c r="C11" s="18"/>
    </row>
    <row r="12" spans="2:10" x14ac:dyDescent="0.15">
      <c r="C12" s="5" t="s">
        <v>244</v>
      </c>
    </row>
    <row r="13" spans="2:10" x14ac:dyDescent="0.15">
      <c r="F13" s="19" t="s">
        <v>251</v>
      </c>
      <c r="I13" s="19" t="s">
        <v>251</v>
      </c>
    </row>
    <row r="14" spans="2:10" x14ac:dyDescent="0.15">
      <c r="D14" s="109" t="s">
        <v>237</v>
      </c>
      <c r="E14" s="108" t="s">
        <v>4</v>
      </c>
      <c r="F14" s="108"/>
      <c r="H14" s="108" t="s">
        <v>245</v>
      </c>
      <c r="I14" s="108"/>
    </row>
    <row r="15" spans="2:10" x14ac:dyDescent="0.15">
      <c r="D15" s="110"/>
      <c r="E15" s="15" t="s">
        <v>3</v>
      </c>
      <c r="F15" s="15" t="s">
        <v>2</v>
      </c>
      <c r="H15" s="15" t="s">
        <v>3</v>
      </c>
      <c r="I15" s="15" t="s">
        <v>1</v>
      </c>
    </row>
    <row r="16" spans="2:10" x14ac:dyDescent="0.15">
      <c r="D16" s="1">
        <f>ROW()-15</f>
        <v>1</v>
      </c>
      <c r="E16" s="4" t="s">
        <v>151</v>
      </c>
      <c r="F16" s="1" t="s">
        <v>141</v>
      </c>
      <c r="H16" s="1" t="s">
        <v>0</v>
      </c>
      <c r="I16" s="1" t="s">
        <v>7</v>
      </c>
      <c r="J16" s="22" t="s">
        <v>291</v>
      </c>
    </row>
    <row r="17" spans="4:10" x14ac:dyDescent="0.15">
      <c r="D17" s="1">
        <f t="shared" ref="D17:D29" si="0">ROW()-15</f>
        <v>2</v>
      </c>
      <c r="E17" s="4" t="s">
        <v>160</v>
      </c>
      <c r="F17" s="1" t="s">
        <v>142</v>
      </c>
      <c r="H17" s="1" t="s">
        <v>8</v>
      </c>
      <c r="I17" s="1" t="s">
        <v>9</v>
      </c>
      <c r="J17" s="22" t="s">
        <v>292</v>
      </c>
    </row>
    <row r="18" spans="4:10" x14ac:dyDescent="0.15">
      <c r="D18" s="20">
        <f t="shared" si="0"/>
        <v>3</v>
      </c>
      <c r="E18" s="21" t="s">
        <v>247</v>
      </c>
      <c r="F18" s="20" t="s">
        <v>248</v>
      </c>
      <c r="H18" s="20" t="s">
        <v>28</v>
      </c>
      <c r="I18" s="20" t="s">
        <v>29</v>
      </c>
      <c r="J18" s="22" t="s">
        <v>246</v>
      </c>
    </row>
    <row r="19" spans="4:10" x14ac:dyDescent="0.15">
      <c r="D19" s="1">
        <f t="shared" si="0"/>
        <v>4</v>
      </c>
      <c r="E19" s="4" t="s">
        <v>12</v>
      </c>
      <c r="F19" s="1" t="s">
        <v>143</v>
      </c>
      <c r="H19" s="1" t="s">
        <v>12</v>
      </c>
      <c r="I19" s="1" t="s">
        <v>13</v>
      </c>
      <c r="J19" s="22" t="s">
        <v>293</v>
      </c>
    </row>
    <row r="20" spans="4:10" x14ac:dyDescent="0.15">
      <c r="D20" s="20">
        <f t="shared" si="0"/>
        <v>5</v>
      </c>
      <c r="E20" s="21" t="s">
        <v>249</v>
      </c>
      <c r="F20" s="20" t="s">
        <v>250</v>
      </c>
      <c r="H20" s="20" t="s">
        <v>30</v>
      </c>
      <c r="I20" s="20" t="s">
        <v>31</v>
      </c>
      <c r="J20" s="22" t="s">
        <v>246</v>
      </c>
    </row>
    <row r="21" spans="4:10" x14ac:dyDescent="0.15">
      <c r="D21" s="20">
        <f t="shared" si="0"/>
        <v>6</v>
      </c>
      <c r="E21" s="21" t="s">
        <v>146</v>
      </c>
      <c r="F21" s="20" t="s">
        <v>161</v>
      </c>
      <c r="H21" s="20" t="s">
        <v>16</v>
      </c>
      <c r="I21" s="20" t="s">
        <v>17</v>
      </c>
      <c r="J21" s="22" t="s">
        <v>246</v>
      </c>
    </row>
    <row r="22" spans="4:10" x14ac:dyDescent="0.15">
      <c r="D22" s="1">
        <f t="shared" si="0"/>
        <v>7</v>
      </c>
      <c r="E22" s="4" t="s">
        <v>20</v>
      </c>
      <c r="F22" s="1" t="s">
        <v>144</v>
      </c>
      <c r="H22" s="1" t="s">
        <v>20</v>
      </c>
      <c r="I22" s="1" t="s">
        <v>21</v>
      </c>
      <c r="J22" s="22" t="s">
        <v>294</v>
      </c>
    </row>
    <row r="23" spans="4:10" x14ac:dyDescent="0.15">
      <c r="D23" s="1">
        <f t="shared" si="0"/>
        <v>8</v>
      </c>
      <c r="E23" s="4" t="s">
        <v>24</v>
      </c>
      <c r="F23" s="1" t="s">
        <v>145</v>
      </c>
      <c r="H23" s="1" t="s">
        <v>24</v>
      </c>
      <c r="I23" s="1" t="s">
        <v>25</v>
      </c>
      <c r="J23" s="22" t="s">
        <v>295</v>
      </c>
    </row>
    <row r="24" spans="4:10" x14ac:dyDescent="0.15">
      <c r="D24" s="1">
        <f t="shared" si="0"/>
        <v>9</v>
      </c>
      <c r="E24" s="4" t="s">
        <v>147</v>
      </c>
      <c r="F24" s="1" t="s">
        <v>32</v>
      </c>
      <c r="H24" s="1" t="s">
        <v>5</v>
      </c>
      <c r="I24" s="1" t="s">
        <v>6</v>
      </c>
      <c r="J24" s="22" t="s">
        <v>296</v>
      </c>
    </row>
    <row r="25" spans="4:10" x14ac:dyDescent="0.15">
      <c r="D25" s="1">
        <f t="shared" si="0"/>
        <v>10</v>
      </c>
      <c r="E25" s="4" t="s">
        <v>148</v>
      </c>
      <c r="F25" s="1" t="s">
        <v>119</v>
      </c>
      <c r="H25" s="1" t="s">
        <v>10</v>
      </c>
      <c r="I25" s="1" t="s">
        <v>11</v>
      </c>
      <c r="J25" s="22" t="s">
        <v>297</v>
      </c>
    </row>
    <row r="26" spans="4:10" x14ac:dyDescent="0.15">
      <c r="D26" s="1">
        <f t="shared" si="0"/>
        <v>11</v>
      </c>
      <c r="E26" s="4" t="s">
        <v>149</v>
      </c>
      <c r="F26" s="1" t="s">
        <v>132</v>
      </c>
      <c r="H26" s="1" t="s">
        <v>14</v>
      </c>
      <c r="I26" s="1" t="s">
        <v>15</v>
      </c>
      <c r="J26" s="22" t="s">
        <v>298</v>
      </c>
    </row>
    <row r="27" spans="4:10" x14ac:dyDescent="0.15">
      <c r="D27" s="20">
        <f t="shared" si="0"/>
        <v>12</v>
      </c>
      <c r="E27" s="21" t="s">
        <v>150</v>
      </c>
      <c r="F27" s="20" t="s">
        <v>173</v>
      </c>
      <c r="H27" s="20" t="s">
        <v>18</v>
      </c>
      <c r="I27" s="20" t="s">
        <v>19</v>
      </c>
      <c r="J27" s="22" t="s">
        <v>246</v>
      </c>
    </row>
    <row r="28" spans="4:10" x14ac:dyDescent="0.15">
      <c r="D28" s="1">
        <f t="shared" si="0"/>
        <v>13</v>
      </c>
      <c r="E28" s="4" t="s">
        <v>22</v>
      </c>
      <c r="F28" s="1" t="s">
        <v>139</v>
      </c>
      <c r="H28" s="1" t="s">
        <v>22</v>
      </c>
      <c r="I28" s="1" t="s">
        <v>23</v>
      </c>
      <c r="J28" s="22" t="s">
        <v>299</v>
      </c>
    </row>
    <row r="29" spans="4:10" x14ac:dyDescent="0.15">
      <c r="D29" s="1">
        <f t="shared" si="0"/>
        <v>14</v>
      </c>
      <c r="E29" s="4" t="s">
        <v>26</v>
      </c>
      <c r="F29" s="1" t="s">
        <v>140</v>
      </c>
      <c r="H29" s="1" t="s">
        <v>26</v>
      </c>
      <c r="I29" s="1" t="s">
        <v>27</v>
      </c>
      <c r="J29" s="22" t="s">
        <v>300</v>
      </c>
    </row>
  </sheetData>
  <mergeCells count="3">
    <mergeCell ref="D14:D15"/>
    <mergeCell ref="E14:F14"/>
    <mergeCell ref="H14:I14"/>
  </mergeCells>
  <phoneticPr fontId="1"/>
  <hyperlinks>
    <hyperlink ref="E24" location="⑨!A1" display="科目マスター" xr:uid="{00000000-0004-0000-1A00-000000000000}"/>
    <hyperlink ref="E25" location="⑩!A1" display="部門マスター一覧" xr:uid="{00000000-0004-0000-1A00-000001000000}"/>
    <hyperlink ref="E26" location="⑪!A1" display="取引先マスター一覧" xr:uid="{00000000-0004-0000-1A00-000002000000}"/>
    <hyperlink ref="E16" location="①!A1" display="科目枝番残高" xr:uid="{00000000-0004-0000-1A00-000003000000}"/>
    <hyperlink ref="E17" location="②!A1" display="部門科目残高" xr:uid="{00000000-0004-0000-1A00-000004000000}"/>
    <hyperlink ref="E20" location="⑤!A1" display="部門取引先科目残高" xr:uid="{00000000-0004-0000-1A00-000005000000}"/>
    <hyperlink ref="E19" location="④!A1" display="取引先科目残高" xr:uid="{00000000-0004-0000-1A00-000006000000}"/>
    <hyperlink ref="E18" location="③!A1" display="部門科目枝番残高" xr:uid="{00000000-0004-0000-1A00-000007000000}"/>
    <hyperlink ref="E21" location="⑥!A1" display="ユニバーサルフィールド１残高" xr:uid="{00000000-0004-0000-1A00-000008000000}"/>
    <hyperlink ref="E23" location="⑧!A1" display="ユニバーサルフィールド３残高" xr:uid="{00000000-0004-0000-1A00-000009000000}"/>
    <hyperlink ref="E27" location="⑫!A1" display="ユニバーサルフィールド１一覧" xr:uid="{00000000-0004-0000-1A00-00000A000000}"/>
    <hyperlink ref="E29" location="⑭!A1" display="ユニバーサルフィールド３一覧" xr:uid="{00000000-0004-0000-1A00-00000B000000}"/>
  </hyperlinks>
  <pageMargins left="0.70866141732283472" right="0.70866141732283472" top="0.74803149606299213" bottom="0.74803149606299213" header="0.31496062992125984" footer="0.31496062992125984"/>
  <pageSetup paperSize="9" fitToHeight="0" orientation="landscape"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38</vt:i4>
      </vt:variant>
      <vt:variant>
        <vt:lpstr>名前付き一覧</vt:lpstr>
      </vt:variant>
      <vt:variant>
        <vt:i4>26</vt:i4>
      </vt:variant>
    </vt:vector>
  </HeadingPairs>
  <TitlesOfParts>
    <vt:vector size="64" baseType="lpstr">
      <vt:lpstr>テーブルマッピング</vt:lpstr>
      <vt:lpstr>kamoku_master</vt:lpstr>
      <vt:lpstr>kamoku_edaban_zandaka</vt:lpstr>
      <vt:lpstr>bumon_master</vt:lpstr>
      <vt:lpstr>bumon_kamoku_zandaka</vt:lpstr>
      <vt:lpstr>torihikisaki_master</vt:lpstr>
      <vt:lpstr>torihikisaki</vt:lpstr>
      <vt:lpstr>torihikisaki_furikomisaki</vt:lpstr>
      <vt:lpstr>torihikisaki_shiharaihouhou</vt:lpstr>
      <vt:lpstr>torihikisaki_hojo</vt:lpstr>
      <vt:lpstr>torihikisaki_kamoku_zandaka</vt:lpstr>
      <vt:lpstr>segment_master</vt:lpstr>
      <vt:lpstr>segment_kamoku_zandaka</vt:lpstr>
      <vt:lpstr>uf1_ichiran</vt:lpstr>
      <vt:lpstr>uf1_zandaka</vt:lpstr>
      <vt:lpstr>uf2_ichiran</vt:lpstr>
      <vt:lpstr>uf2_zandaka</vt:lpstr>
      <vt:lpstr>uf3_ichiran</vt:lpstr>
      <vt:lpstr>uf3_zandaka</vt:lpstr>
      <vt:lpstr>kaisha_info</vt:lpstr>
      <vt:lpstr>project_master</vt:lpstr>
      <vt:lpstr>（期別）決算期</vt:lpstr>
      <vt:lpstr>（期別）科目</vt:lpstr>
      <vt:lpstr>（期別）部門</vt:lpstr>
      <vt:lpstr>（期別）集計部門</vt:lpstr>
      <vt:lpstr>（期別）科目セキュリティ</vt:lpstr>
      <vt:lpstr>（期別）部門セキュリティ</vt:lpstr>
      <vt:lpstr>（期別）科目枝番</vt:lpstr>
      <vt:lpstr>部門科目予算</vt:lpstr>
      <vt:lpstr>部門科目枝番残高</vt:lpstr>
      <vt:lpstr>部門科目枝番予算</vt:lpstr>
      <vt:lpstr>集計部門</vt:lpstr>
      <vt:lpstr>（期別）部署入出力仕訳</vt:lpstr>
      <vt:lpstr>open21_kinyuukikan</vt:lpstr>
      <vt:lpstr>（期別）消費税設定</vt:lpstr>
      <vt:lpstr>MEMO１（取引先）</vt:lpstr>
      <vt:lpstr>MEMO２（取引先）</vt:lpstr>
      <vt:lpstr>bk</vt:lpstr>
      <vt:lpstr>'（期別）科目'!Print_Area</vt:lpstr>
      <vt:lpstr>'（期別）科目セキュリティ'!Print_Area</vt:lpstr>
      <vt:lpstr>'（期別）科目枝番'!Print_Area</vt:lpstr>
      <vt:lpstr>'（期別）決算期'!Print_Area</vt:lpstr>
      <vt:lpstr>'（期別）集計部門'!Print_Area</vt:lpstr>
      <vt:lpstr>'（期別）消費税設定'!Print_Area</vt:lpstr>
      <vt:lpstr>'（期別）部署入出力仕訳'!Print_Area</vt:lpstr>
      <vt:lpstr>'（期別）部門'!Print_Area</vt:lpstr>
      <vt:lpstr>'（期別）部門セキュリティ'!Print_Area</vt:lpstr>
      <vt:lpstr>bk!Print_Area</vt:lpstr>
      <vt:lpstr>bumon_kamoku_zandaka!Print_Area</vt:lpstr>
      <vt:lpstr>bumon_master!Print_Area</vt:lpstr>
      <vt:lpstr>kaisha_info!Print_Area</vt:lpstr>
      <vt:lpstr>kamoku_edaban_zandaka!Print_Area</vt:lpstr>
      <vt:lpstr>project_master!Print_Area</vt:lpstr>
      <vt:lpstr>segment_kamoku_zandaka!Print_Area</vt:lpstr>
      <vt:lpstr>segment_master!Print_Area</vt:lpstr>
      <vt:lpstr>torihikisaki!Print_Area</vt:lpstr>
      <vt:lpstr>torihikisaki_master!Print_Area</vt:lpstr>
      <vt:lpstr>uf1_ichiran!Print_Area</vt:lpstr>
      <vt:lpstr>uf2_ichiran!Print_Area</vt:lpstr>
      <vt:lpstr>テーブルマッピング!Print_Area</vt:lpstr>
      <vt:lpstr>集計部門!Print_Area</vt:lpstr>
      <vt:lpstr>部門科目枝番残高!Print_Area</vt:lpstr>
      <vt:lpstr>部門科目枝番予算!Print_Area</vt:lpstr>
      <vt:lpstr>部門科目予算!Print_Area</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tashiro_yuuta</dc:creator>
  <cp:lastModifiedBy>西村 理保</cp:lastModifiedBy>
  <cp:lastPrinted>2014-06-13T05:06:16Z</cp:lastPrinted>
  <dcterms:created xsi:type="dcterms:W3CDTF">2014-04-14T08:56:55Z</dcterms:created>
  <dcterms:modified xsi:type="dcterms:W3CDTF">2023-03-23T02:27:35Z</dcterms:modified>
</cp:coreProperties>
</file>