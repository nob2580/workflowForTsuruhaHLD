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team\workspace\dev_icsp4\oemRelease\CSV等ネタ元\"/>
    </mc:Choice>
  </mc:AlternateContent>
  <xr:revisionPtr revIDLastSave="0" documentId="13_ncr:1_{88EB061F-51F0-46F9-BA5A-06F06D83A2A5}" xr6:coauthVersionLast="38" xr6:coauthVersionMax="38" xr10:uidLastSave="{00000000-0000-0000-0000-000000000000}"/>
  <bookViews>
    <workbookView xWindow="1095" yWindow="-150" windowWidth="14010" windowHeight="13035" tabRatio="872" xr2:uid="{00000000-000D-0000-FFFF-FFFF00000000}"/>
  </bookViews>
  <sheets>
    <sheet name="テーブルマッピング" sheetId="1" r:id="rId1"/>
    <sheet name="（期別）財務仕訳" sheetId="31" r:id="rId2"/>
  </sheets>
  <externalReferences>
    <externalReference r:id="rId3"/>
  </externalReferences>
  <definedNames>
    <definedName name="_xlnm.Print_Area" localSheetId="1">'（期別）財務仕訳'!$A$1:$P$25</definedName>
    <definedName name="_xlnm.Print_Area" localSheetId="0">テーブルマッピング!$A$1:$J$21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31" l="1"/>
  <c r="D20" i="1" l="1"/>
</calcChain>
</file>

<file path=xl/sharedStrings.xml><?xml version="1.0" encoding="utf-8"?>
<sst xmlns="http://schemas.openxmlformats.org/spreadsheetml/2006/main" count="181" uniqueCount="86">
  <si>
    <t>テーブル名</t>
    <rPh sb="4" eb="5">
      <t>メイ</t>
    </rPh>
    <phoneticPr fontId="1"/>
  </si>
  <si>
    <t>VIEW名（OPEN21）</t>
    <rPh sb="4" eb="5">
      <t>メイ</t>
    </rPh>
    <phoneticPr fontId="1"/>
  </si>
  <si>
    <t>名称</t>
    <rPh sb="0" eb="2">
      <t>メイショウ</t>
    </rPh>
    <phoneticPr fontId="1"/>
  </si>
  <si>
    <t>OPEN21</t>
    <phoneticPr fontId="1"/>
  </si>
  <si>
    <t>smallint</t>
  </si>
  <si>
    <t>桁数</t>
  </si>
  <si>
    <t>備考</t>
  </si>
  <si>
    <t>№</t>
  </si>
  <si>
    <t>カラム名</t>
  </si>
  <si>
    <t>項目</t>
  </si>
  <si>
    <t>データ型</t>
  </si>
  <si>
    <t>NULL</t>
  </si>
  <si>
    <t>一覧へ戻る</t>
    <rPh sb="0" eb="2">
      <t>イチラン</t>
    </rPh>
    <rPh sb="3" eb="4">
      <t>モド</t>
    </rPh>
    <phoneticPr fontId="1"/>
  </si>
  <si>
    <t>論理名</t>
  </si>
  <si>
    <t>物理名</t>
  </si>
  <si>
    <t>型</t>
  </si>
  <si>
    <t>UNIQUE</t>
  </si>
  <si>
    <t>No</t>
    <phoneticPr fontId="1"/>
  </si>
  <si>
    <t>■概要</t>
    <rPh sb="1" eb="3">
      <t>ガイヨウ</t>
    </rPh>
    <phoneticPr fontId="1"/>
  </si>
  <si>
    <t>マスター取込を行う、対象のマスターを、OPEN21と諸届けでマッピングを行った資料です。</t>
    <rPh sb="4" eb="6">
      <t>トリコミ</t>
    </rPh>
    <rPh sb="7" eb="8">
      <t>オコナ</t>
    </rPh>
    <rPh sb="10" eb="12">
      <t>タイショウ</t>
    </rPh>
    <rPh sb="26" eb="27">
      <t>ショ</t>
    </rPh>
    <rPh sb="27" eb="28">
      <t>トド</t>
    </rPh>
    <rPh sb="36" eb="37">
      <t>オコナ</t>
    </rPh>
    <rPh sb="39" eb="41">
      <t>シリョウ</t>
    </rPh>
    <phoneticPr fontId="1"/>
  </si>
  <si>
    <t>本シートはマスター名（テーブル名）をマッピングした資料となります。</t>
    <rPh sb="0" eb="1">
      <t>ホン</t>
    </rPh>
    <rPh sb="9" eb="10">
      <t>メイ</t>
    </rPh>
    <rPh sb="15" eb="16">
      <t>メイ</t>
    </rPh>
    <rPh sb="25" eb="27">
      <t>シリョウ</t>
    </rPh>
    <phoneticPr fontId="1"/>
  </si>
  <si>
    <t>※各シートの黄色の網掛けは諸届けのカラム順（データ登録順）に合わせて入れ替えをした箇所です。</t>
    <rPh sb="25" eb="27">
      <t>トウロク</t>
    </rPh>
    <rPh sb="27" eb="28">
      <t>ジュン</t>
    </rPh>
    <phoneticPr fontId="1"/>
  </si>
  <si>
    <t>各マスターのシートはカラム情報をマッピングした資料となります。</t>
    <rPh sb="0" eb="1">
      <t>カク</t>
    </rPh>
    <rPh sb="13" eb="15">
      <t>ジョウホウ</t>
    </rPh>
    <rPh sb="23" eb="25">
      <t>シリョウ</t>
    </rPh>
    <phoneticPr fontId="1"/>
  </si>
  <si>
    <t>■マスターマッピング</t>
    <phoneticPr fontId="1"/>
  </si>
  <si>
    <t>諸届け</t>
    <rPh sb="0" eb="1">
      <t>ショ</t>
    </rPh>
    <rPh sb="1" eb="2">
      <t>トド</t>
    </rPh>
    <phoneticPr fontId="1"/>
  </si>
  <si>
    <t>varchar</t>
  </si>
  <si>
    <t>decimal</t>
  </si>
  <si>
    <t>シート名</t>
    <rPh sb="3" eb="4">
      <t>メイ</t>
    </rPh>
    <phoneticPr fontId="1"/>
  </si>
  <si>
    <t>date</t>
  </si>
  <si>
    <t>メモ</t>
    <phoneticPr fontId="1"/>
  </si>
  <si>
    <t>※参考資料：10.諸届\70.受領資料\10.OPEN21\de3_エクスポーター\de3_エクスポーターガイダンス（管理者用）.doc</t>
    <rPh sb="1" eb="3">
      <t>サンコウ</t>
    </rPh>
    <rPh sb="3" eb="5">
      <t>シリョウ</t>
    </rPh>
    <phoneticPr fontId="1"/>
  </si>
  <si>
    <t>■CSVについて</t>
    <phoneticPr fontId="1"/>
  </si>
  <si>
    <t>kesn</t>
  </si>
  <si>
    <t>int</t>
  </si>
  <si>
    <t>内部決算期</t>
  </si>
  <si>
    <t>マスター期間取込一覧</t>
    <rPh sb="4" eb="6">
      <t>キカン</t>
    </rPh>
    <rPh sb="6" eb="8">
      <t>トリコミ</t>
    </rPh>
    <rPh sb="8" eb="10">
      <t>イチラン</t>
    </rPh>
    <phoneticPr fontId="1"/>
  </si>
  <si>
    <r>
      <t>当シートから出力されるCSV(master_torikomi_ichiran_term_de3.csv、master_torikomi_shousai_term_de3.csv)は</t>
    </r>
    <r>
      <rPr>
        <u/>
        <sz val="11"/>
        <color theme="1"/>
        <rFont val="ＭＳ Ｐゴシック"/>
        <family val="3"/>
        <charset val="128"/>
        <scheme val="minor"/>
      </rPr>
      <t>デプロイ対象です。</t>
    </r>
    <rPh sb="0" eb="1">
      <t>トウ</t>
    </rPh>
    <rPh sb="6" eb="8">
      <t>シュツリョク</t>
    </rPh>
    <rPh sb="94" eb="96">
      <t>タイショウ</t>
    </rPh>
    <phoneticPr fontId="1"/>
  </si>
  <si>
    <r>
      <t>master_kanri_ichiran_term_de3.csv、master_kanri_hansuu_term_de3.csvについては、WEB(マスター管理メニュー)から参照する為の制御データです。</t>
    </r>
    <r>
      <rPr>
        <u/>
        <sz val="11"/>
        <color theme="1"/>
        <rFont val="ＭＳ Ｐゴシック"/>
        <family val="3"/>
        <charset val="128"/>
        <scheme val="minor"/>
      </rPr>
      <t>参考情報です。</t>
    </r>
    <rPh sb="80" eb="82">
      <t>カンリ</t>
    </rPh>
    <rPh sb="89" eb="91">
      <t>サンショウ</t>
    </rPh>
    <rPh sb="93" eb="94">
      <t>タメ</t>
    </rPh>
    <rPh sb="95" eb="97">
      <t>セイギョ</t>
    </rPh>
    <rPh sb="103" eb="105">
      <t>サンコウ</t>
    </rPh>
    <rPh sb="105" eb="107">
      <t>ジョウホウ</t>
    </rPh>
    <phoneticPr fontId="1"/>
  </si>
  <si>
    <t>zdata</t>
    <phoneticPr fontId="1"/>
  </si>
  <si>
    <t>dkei</t>
  </si>
  <si>
    <t>経過月</t>
  </si>
  <si>
    <t>dseq</t>
  </si>
  <si>
    <t>伝票SEQ</t>
  </si>
  <si>
    <t>sseq</t>
  </si>
  <si>
    <t>仕訳SEQ</t>
  </si>
  <si>
    <t>dymd</t>
  </si>
  <si>
    <t>伝票日付</t>
  </si>
  <si>
    <t>valu</t>
  </si>
  <si>
    <t>金額</t>
  </si>
  <si>
    <t>rkmk</t>
  </si>
  <si>
    <t>借方科目</t>
  </si>
  <si>
    <t>rbmn</t>
  </si>
  <si>
    <t>借方部門</t>
  </si>
  <si>
    <t>rtky</t>
  </si>
  <si>
    <t>借方適用</t>
  </si>
  <si>
    <t>rtor</t>
  </si>
  <si>
    <t>借方取引先</t>
  </si>
  <si>
    <t>skmk</t>
  </si>
  <si>
    <t>貸方科目</t>
  </si>
  <si>
    <t>sbmn</t>
  </si>
  <si>
    <t>貸方部門</t>
  </si>
  <si>
    <t>stky</t>
  </si>
  <si>
    <t>貸方適用</t>
  </si>
  <si>
    <t>stor</t>
  </si>
  <si>
    <t>貸方取引先</t>
  </si>
  <si>
    <t>更新日：2016/10/28</t>
    <phoneticPr fontId="1"/>
  </si>
  <si>
    <t>更新日：2016/10/28</t>
    <phoneticPr fontId="1"/>
  </si>
  <si>
    <t>（期別）財務仕訳</t>
    <phoneticPr fontId="1"/>
  </si>
  <si>
    <t>ki_shiwake</t>
    <phoneticPr fontId="1"/>
  </si>
  <si>
    <t>（期別）財務仕訳</t>
    <rPh sb="4" eb="6">
      <t>ザイム</t>
    </rPh>
    <rPh sb="6" eb="8">
      <t>シワケ</t>
    </rPh>
    <phoneticPr fontId="1"/>
  </si>
  <si>
    <t>OPEN21</t>
    <phoneticPr fontId="1"/>
  </si>
  <si>
    <t>eTeam</t>
    <phoneticPr fontId="1"/>
  </si>
  <si>
    <t>NOT NULL</t>
    <phoneticPr fontId="1"/>
  </si>
  <si>
    <t>×</t>
    <phoneticPr fontId="1"/>
  </si>
  <si>
    <t>dcno</t>
    <phoneticPr fontId="1"/>
  </si>
  <si>
    <t>伝票番号</t>
    <rPh sb="0" eb="2">
      <t>デンピョウ</t>
    </rPh>
    <rPh sb="2" eb="4">
      <t>バンゴウ</t>
    </rPh>
    <phoneticPr fontId="1"/>
  </si>
  <si>
    <t>fway</t>
    <phoneticPr fontId="1"/>
  </si>
  <si>
    <t>入力手段</t>
    <rPh sb="0" eb="2">
      <t>ニュウリョク</t>
    </rPh>
    <rPh sb="2" eb="4">
      <t>シュダン</t>
    </rPh>
    <phoneticPr fontId="1"/>
  </si>
  <si>
    <t>smallint</t>
    <phoneticPr fontId="1"/>
  </si>
  <si>
    <t>reda</t>
    <phoneticPr fontId="1"/>
  </si>
  <si>
    <t>借方枝番</t>
    <rPh sb="2" eb="4">
      <t>エダバン</t>
    </rPh>
    <phoneticPr fontId="1"/>
  </si>
  <si>
    <t>借方枝番</t>
    <phoneticPr fontId="1"/>
  </si>
  <si>
    <t>seda</t>
    <phoneticPr fontId="1"/>
  </si>
  <si>
    <t>貸方枝番</t>
    <rPh sb="2" eb="4">
      <t>エダバン</t>
    </rPh>
    <phoneticPr fontId="1"/>
  </si>
  <si>
    <t>貸方枝番</t>
    <phoneticPr fontId="1"/>
  </si>
  <si>
    <r>
      <t xml:space="preserve">(SELECT
    kesn,
    dkei,
    dseq,
    dseq AS sseq,
    CAST(CAST(dymd as CHAR(8)) AS DATE) as dymd,
    dcno,
</t>
    </r>
    <r>
      <rPr>
        <sz val="11"/>
        <color rgb="FFFF0000"/>
        <rFont val="ＭＳ Ｐゴシック"/>
        <family val="3"/>
        <charset val="128"/>
        <scheme val="minor"/>
      </rPr>
      <t xml:space="preserve">    RTRIM(rbmn) AS </t>
    </r>
    <r>
      <rPr>
        <sz val="11"/>
        <color theme="1"/>
        <rFont val="ＭＳ Ｐゴシック"/>
        <family val="2"/>
        <charset val="128"/>
        <scheme val="minor"/>
      </rPr>
      <t xml:space="preserve">rbmn,
    </t>
    </r>
    <r>
      <rPr>
        <sz val="11"/>
        <color rgb="FFFF0000"/>
        <rFont val="ＭＳ Ｐゴシック"/>
        <family val="3"/>
        <charset val="128"/>
        <scheme val="minor"/>
      </rPr>
      <t>RTRIM(rtor) AS</t>
    </r>
    <r>
      <rPr>
        <sz val="11"/>
        <color theme="1"/>
        <rFont val="ＭＳ Ｐゴシック"/>
        <family val="2"/>
        <charset val="128"/>
        <scheme val="minor"/>
      </rPr>
      <t xml:space="preserve"> rtor,
    rkmk,
    </t>
    </r>
    <r>
      <rPr>
        <sz val="11"/>
        <color rgb="FFFF0000"/>
        <rFont val="ＭＳ Ｐゴシック"/>
        <family val="3"/>
        <charset val="128"/>
        <scheme val="minor"/>
      </rPr>
      <t xml:space="preserve">RTRIM(reda) AS </t>
    </r>
    <r>
      <rPr>
        <sz val="11"/>
        <color theme="1"/>
        <rFont val="ＭＳ Ｐゴシック"/>
        <family val="2"/>
        <charset val="128"/>
        <scheme val="minor"/>
      </rPr>
      <t xml:space="preserve">reda,
    rtky,
    </t>
    </r>
    <r>
      <rPr>
        <sz val="11"/>
        <color rgb="FFFF0000"/>
        <rFont val="ＭＳ Ｐゴシック"/>
        <family val="3"/>
        <charset val="128"/>
        <scheme val="minor"/>
      </rPr>
      <t xml:space="preserve">RTRIM(sbmn) AS </t>
    </r>
    <r>
      <rPr>
        <sz val="11"/>
        <color theme="1"/>
        <rFont val="ＭＳ Ｐゴシック"/>
        <family val="2"/>
        <charset val="128"/>
        <scheme val="minor"/>
      </rPr>
      <t xml:space="preserve">sbmn,
    </t>
    </r>
    <r>
      <rPr>
        <sz val="11"/>
        <color rgb="FFFF0000"/>
        <rFont val="ＭＳ Ｐゴシック"/>
        <family val="3"/>
        <charset val="128"/>
        <scheme val="minor"/>
      </rPr>
      <t xml:space="preserve">RTRIM(stor) AS </t>
    </r>
    <r>
      <rPr>
        <sz val="11"/>
        <color theme="1"/>
        <rFont val="ＭＳ Ｐゴシック"/>
        <family val="2"/>
        <charset val="128"/>
        <scheme val="minor"/>
      </rPr>
      <t xml:space="preserve">stor,
    skmk,
   </t>
    </r>
    <r>
      <rPr>
        <sz val="11"/>
        <color rgb="FFFF0000"/>
        <rFont val="ＭＳ Ｐゴシック"/>
        <family val="3"/>
        <charset val="128"/>
        <scheme val="minor"/>
      </rPr>
      <t xml:space="preserve"> RTRIM(seda) AS</t>
    </r>
    <r>
      <rPr>
        <sz val="11"/>
        <color theme="1"/>
        <rFont val="ＭＳ Ｐゴシック"/>
        <family val="2"/>
        <charset val="128"/>
        <scheme val="minor"/>
      </rPr>
      <t xml:space="preserve"> seda,
    stky,
    valu,
    fway
FROM
    (SELECT
        z.*
    FROM zdata AS z
    WHERE
        (z.dymd  BETWEEN :DYMD_START AND :DYMD_END) AND
        z.delf = 0
    ) AS t
)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</si>
</sst>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b/>
      <sz val="11"/>
      <color indexed="8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</font>
    <font>
      <u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b/>
      <sz val="16"/>
      <color rgb="FF0000FF"/>
      <name val="ＭＳ Ｐゴシック"/>
      <family val="3"/>
      <charset val="128"/>
    </font>
    <font>
      <sz val="11"/>
      <color rgb="FFFF0000"/>
      <name val="ＭＳ Ｐゴシック"/>
      <family val="3"/>
      <charset val="128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8DB4E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7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0" borderId="9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8" borderId="10" applyNumberFormat="0" applyAlignment="0" applyProtection="0">
      <alignment vertical="center"/>
    </xf>
    <xf numFmtId="0" fontId="17" fillId="9" borderId="11" applyNumberFormat="0" applyAlignment="0" applyProtection="0">
      <alignment vertical="center"/>
    </xf>
    <xf numFmtId="0" fontId="18" fillId="9" borderId="10" applyNumberFormat="0" applyAlignment="0" applyProtection="0">
      <alignment vertical="center"/>
    </xf>
    <xf numFmtId="0" fontId="19" fillId="0" borderId="12" applyNumberFormat="0" applyFill="0" applyAlignment="0" applyProtection="0">
      <alignment vertical="center"/>
    </xf>
    <xf numFmtId="0" fontId="20" fillId="10" borderId="13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11" borderId="14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5" applyNumberFormat="0" applyFill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5" fillId="0" borderId="0"/>
  </cellStyleXfs>
  <cellXfs count="2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top"/>
    </xf>
    <xf numFmtId="0" fontId="0" fillId="2" borderId="1" xfId="0" applyFill="1" applyBorder="1">
      <alignment vertical="center"/>
    </xf>
    <xf numFmtId="0" fontId="2" fillId="0" borderId="1" xfId="1" applyBorder="1" applyAlignment="1" applyProtection="1">
      <alignment vertical="center"/>
    </xf>
    <xf numFmtId="0" fontId="3" fillId="0" borderId="0" xfId="0" applyFont="1" applyBorder="1">
      <alignment vertical="center"/>
    </xf>
    <xf numFmtId="0" fontId="0" fillId="0" borderId="3" xfId="0" applyBorder="1" applyAlignment="1">
      <alignment vertical="top"/>
    </xf>
    <xf numFmtId="0" fontId="3" fillId="0" borderId="0" xfId="0" applyFont="1">
      <alignment vertical="center"/>
    </xf>
    <xf numFmtId="0" fontId="0" fillId="0" borderId="1" xfId="0" applyFill="1" applyBorder="1">
      <alignment vertical="center"/>
    </xf>
    <xf numFmtId="0" fontId="2" fillId="0" borderId="0" xfId="1" applyAlignment="1" applyProtection="1">
      <alignment vertical="center"/>
    </xf>
    <xf numFmtId="0" fontId="3" fillId="3" borderId="1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5" xfId="0" applyFont="1" applyFill="1" applyBorder="1">
      <alignment vertical="center"/>
    </xf>
    <xf numFmtId="0" fontId="0" fillId="4" borderId="1" xfId="0" applyFill="1" applyBorder="1">
      <alignment vertical="center"/>
    </xf>
    <xf numFmtId="0" fontId="3" fillId="0" borderId="0" xfId="0" applyFont="1" applyBorder="1" applyAlignment="1">
      <alignment vertical="top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5" fillId="0" borderId="0" xfId="0" applyFont="1">
      <alignment vertical="center"/>
    </xf>
    <xf numFmtId="0" fontId="0" fillId="0" borderId="0" xfId="0" applyBorder="1" applyAlignment="1">
      <alignment horizontal="right" vertical="center"/>
    </xf>
    <xf numFmtId="0" fontId="0" fillId="0" borderId="6" xfId="0" applyFill="1" applyBorder="1">
      <alignment vertical="center"/>
    </xf>
    <xf numFmtId="0" fontId="3" fillId="4" borderId="1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0" fillId="36" borderId="1" xfId="0" applyNumberFormat="1" applyFill="1" applyBorder="1" applyAlignment="1">
      <alignment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</cellXfs>
  <cellStyles count="45">
    <cellStyle name="20% - アクセント 1" xfId="21" builtinId="30" customBuiltin="1"/>
    <cellStyle name="20% - アクセント 2" xfId="25" builtinId="34" customBuiltin="1"/>
    <cellStyle name="20% - アクセント 3" xfId="29" builtinId="38" customBuiltin="1"/>
    <cellStyle name="20% - アクセント 4" xfId="33" builtinId="42" customBuiltin="1"/>
    <cellStyle name="20% - アクセント 5" xfId="37" builtinId="46" customBuiltin="1"/>
    <cellStyle name="20% - アクセント 6" xfId="41" builtinId="50" customBuiltin="1"/>
    <cellStyle name="40% - アクセント 1" xfId="22" builtinId="31" customBuiltin="1"/>
    <cellStyle name="40% - アクセント 2" xfId="26" builtinId="35" customBuiltin="1"/>
    <cellStyle name="40% - アクセント 3" xfId="30" builtinId="39" customBuiltin="1"/>
    <cellStyle name="40% - アクセント 4" xfId="34" builtinId="43" customBuiltin="1"/>
    <cellStyle name="40% - アクセント 5" xfId="38" builtinId="47" customBuiltin="1"/>
    <cellStyle name="40% - アクセント 6" xfId="42" builtinId="51" customBuiltin="1"/>
    <cellStyle name="60% - アクセント 1" xfId="23" builtinId="32" customBuiltin="1"/>
    <cellStyle name="60% - アクセント 2" xfId="27" builtinId="36" customBuiltin="1"/>
    <cellStyle name="60% - アクセント 3" xfId="31" builtinId="40" customBuiltin="1"/>
    <cellStyle name="60% - アクセント 4" xfId="35" builtinId="44" customBuiltin="1"/>
    <cellStyle name="60% - アクセント 5" xfId="39" builtinId="48" customBuiltin="1"/>
    <cellStyle name="60% - アクセント 6" xfId="43" builtinId="52" customBuiltin="1"/>
    <cellStyle name="アクセント 1" xfId="20" builtinId="29" customBuiltin="1"/>
    <cellStyle name="アクセント 2" xfId="24" builtinId="33" customBuiltin="1"/>
    <cellStyle name="アクセント 3" xfId="28" builtinId="37" customBuiltin="1"/>
    <cellStyle name="アクセント 4" xfId="32" builtinId="41" customBuiltin="1"/>
    <cellStyle name="アクセント 5" xfId="36" builtinId="45" customBuiltin="1"/>
    <cellStyle name="アクセント 6" xfId="40" builtinId="49" customBuiltin="1"/>
    <cellStyle name="タイトル" xfId="3" builtinId="15" customBuiltin="1"/>
    <cellStyle name="チェック セル" xfId="15" builtinId="23" customBuiltin="1"/>
    <cellStyle name="どちらでもない" xfId="10" builtinId="28" customBuiltin="1"/>
    <cellStyle name="ハイパーリンク" xfId="1" builtinId="8"/>
    <cellStyle name="メモ" xfId="17" builtinId="10" customBuiltin="1"/>
    <cellStyle name="リンク セル" xfId="14" builtinId="24" customBuiltin="1"/>
    <cellStyle name="悪い" xfId="9" builtinId="27" customBuiltin="1"/>
    <cellStyle name="計算" xfId="13" builtinId="22" customBuiltin="1"/>
    <cellStyle name="警告文" xfId="16" builtinId="11" customBuiltin="1"/>
    <cellStyle name="見出し 1" xfId="4" builtinId="16" customBuiltin="1"/>
    <cellStyle name="見出し 2" xfId="5" builtinId="17" customBuiltin="1"/>
    <cellStyle name="見出し 3" xfId="6" builtinId="18" customBuiltin="1"/>
    <cellStyle name="見出し 4" xfId="7" builtinId="19" customBuiltin="1"/>
    <cellStyle name="集計" xfId="19" builtinId="25" customBuiltin="1"/>
    <cellStyle name="出力" xfId="12" builtinId="21" customBuiltin="1"/>
    <cellStyle name="説明文" xfId="18" builtinId="53" customBuiltin="1"/>
    <cellStyle name="入力" xfId="11" builtinId="20" customBuiltin="1"/>
    <cellStyle name="標準" xfId="0" builtinId="0"/>
    <cellStyle name="標準 2" xfId="2" xr:uid="{00000000-0005-0000-0000-00002A000000}"/>
    <cellStyle name="標準 2 2" xfId="44" xr:uid="{00000000-0005-0000-0000-00002B000000}"/>
    <cellStyle name="良い" xfId="8" builtinId="26" customBuiltin="1"/>
  </cellStyles>
  <dxfs count="0"/>
  <tableStyles count="0" defaultTableStyle="TableStyleMedium9" defaultPivotStyle="PivotStyleLight16"/>
  <colors>
    <mruColors>
      <color rgb="FFF4BAEC"/>
      <color rgb="FFDE8ADA"/>
      <color rgb="FF8DB4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4</xdr:row>
          <xdr:rowOff>9525</xdr:rowOff>
        </xdr:from>
        <xdr:to>
          <xdr:col>8</xdr:col>
          <xdr:colOff>2286000</xdr:colOff>
          <xdr:row>5</xdr:row>
          <xdr:rowOff>161925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CSV作成マクロ起動！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1029;&#32025;_&#12510;&#12473;&#12479;&#12540;&#26399;&#38291;&#21462;&#36796;&#19968;&#35239;_&#12510;&#12483;&#12500;&#12531;&#12464;&#36039;&#26009;(SIAS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テーブルマッピング"/>
      <sheetName val="（期別）財務仕訳"/>
    </sheetNames>
    <sheetDataSet>
      <sheetData sheetId="0">
        <row r="20">
          <cell r="E20" t="str">
            <v>（期別）財務仕訳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K20"/>
  <sheetViews>
    <sheetView tabSelected="1" view="pageBreakPreview" zoomScaleSheetLayoutView="100" workbookViewId="0"/>
  </sheetViews>
  <sheetFormatPr defaultRowHeight="13.5" x14ac:dyDescent="0.15"/>
  <cols>
    <col min="1" max="3" width="2.25" customWidth="1"/>
    <col min="4" max="4" width="4.5" bestFit="1" customWidth="1"/>
    <col min="5" max="5" width="26.625" bestFit="1" customWidth="1"/>
    <col min="6" max="6" width="44.25" customWidth="1"/>
    <col min="7" max="7" width="2.25" customWidth="1"/>
    <col min="8" max="8" width="26.625" bestFit="1" customWidth="1"/>
    <col min="9" max="9" width="31.25" bestFit="1" customWidth="1"/>
    <col min="10" max="10" width="21.625" bestFit="1" customWidth="1"/>
  </cols>
  <sheetData>
    <row r="1" spans="2:11" x14ac:dyDescent="0.15">
      <c r="J1" s="2"/>
      <c r="K1" s="2"/>
    </row>
    <row r="2" spans="2:11" x14ac:dyDescent="0.15">
      <c r="B2" s="8" t="s">
        <v>35</v>
      </c>
      <c r="J2" s="2"/>
      <c r="K2" s="2"/>
    </row>
    <row r="3" spans="2:11" x14ac:dyDescent="0.15">
      <c r="B3" s="8"/>
      <c r="J3" s="2"/>
      <c r="K3" s="2"/>
    </row>
    <row r="4" spans="2:11" x14ac:dyDescent="0.15">
      <c r="B4" s="8"/>
      <c r="C4" s="8" t="s">
        <v>18</v>
      </c>
      <c r="J4" s="2"/>
      <c r="K4" s="2"/>
    </row>
    <row r="5" spans="2:11" x14ac:dyDescent="0.15">
      <c r="B5" s="8"/>
      <c r="D5" t="s">
        <v>19</v>
      </c>
      <c r="J5" s="2"/>
      <c r="K5" s="2"/>
    </row>
    <row r="6" spans="2:11" x14ac:dyDescent="0.15">
      <c r="B6" s="8"/>
      <c r="D6" t="s">
        <v>20</v>
      </c>
      <c r="J6" s="2"/>
      <c r="K6" s="2"/>
    </row>
    <row r="7" spans="2:11" x14ac:dyDescent="0.15">
      <c r="B7" s="8"/>
      <c r="D7" t="s">
        <v>22</v>
      </c>
      <c r="J7" s="2"/>
      <c r="K7" s="2"/>
    </row>
    <row r="8" spans="2:11" x14ac:dyDescent="0.15">
      <c r="B8" s="8"/>
      <c r="J8" s="2"/>
      <c r="K8" s="2"/>
    </row>
    <row r="9" spans="2:11" x14ac:dyDescent="0.15">
      <c r="B9" s="8"/>
      <c r="D9" t="s">
        <v>30</v>
      </c>
      <c r="J9" s="2"/>
      <c r="K9" s="2"/>
    </row>
    <row r="10" spans="2:11" x14ac:dyDescent="0.15">
      <c r="C10" s="18"/>
      <c r="D10" s="18" t="s">
        <v>21</v>
      </c>
      <c r="J10" s="2"/>
      <c r="K10" s="2"/>
    </row>
    <row r="11" spans="2:11" x14ac:dyDescent="0.15">
      <c r="C11" s="18"/>
      <c r="D11" s="18"/>
      <c r="J11" s="2"/>
      <c r="K11" s="2"/>
    </row>
    <row r="12" spans="2:11" x14ac:dyDescent="0.15">
      <c r="C12" s="18" t="s">
        <v>31</v>
      </c>
      <c r="D12" s="18"/>
      <c r="J12" s="2"/>
      <c r="K12" s="2"/>
    </row>
    <row r="13" spans="2:11" x14ac:dyDescent="0.15">
      <c r="C13" s="18"/>
      <c r="D13" s="18" t="s">
        <v>36</v>
      </c>
      <c r="J13" s="2"/>
      <c r="K13" s="2"/>
    </row>
    <row r="14" spans="2:11" x14ac:dyDescent="0.15">
      <c r="C14" s="18"/>
      <c r="D14" s="18" t="s">
        <v>37</v>
      </c>
      <c r="J14" s="2"/>
      <c r="K14" s="2"/>
    </row>
    <row r="15" spans="2:11" x14ac:dyDescent="0.15">
      <c r="C15" s="18"/>
      <c r="J15" s="2"/>
      <c r="K15" s="2"/>
    </row>
    <row r="16" spans="2:11" x14ac:dyDescent="0.15">
      <c r="C16" s="8" t="s">
        <v>23</v>
      </c>
      <c r="J16" s="2"/>
      <c r="K16" s="2"/>
    </row>
    <row r="17" spans="4:11" x14ac:dyDescent="0.15">
      <c r="F17" s="19" t="s">
        <v>65</v>
      </c>
      <c r="I17" s="19" t="s">
        <v>66</v>
      </c>
      <c r="J17" s="2"/>
      <c r="K17" s="2"/>
    </row>
    <row r="18" spans="4:11" x14ac:dyDescent="0.15">
      <c r="D18" s="25" t="s">
        <v>17</v>
      </c>
      <c r="E18" s="24" t="s">
        <v>3</v>
      </c>
      <c r="F18" s="24"/>
      <c r="H18" s="24" t="s">
        <v>24</v>
      </c>
      <c r="I18" s="24"/>
      <c r="J18" s="2"/>
      <c r="K18" s="2"/>
    </row>
    <row r="19" spans="4:11" x14ac:dyDescent="0.15">
      <c r="D19" s="26"/>
      <c r="E19" s="16" t="s">
        <v>2</v>
      </c>
      <c r="F19" s="16" t="s">
        <v>1</v>
      </c>
      <c r="H19" s="16" t="s">
        <v>2</v>
      </c>
      <c r="I19" s="16" t="s">
        <v>0</v>
      </c>
      <c r="J19" s="21" t="s">
        <v>27</v>
      </c>
      <c r="K19" s="22" t="s">
        <v>29</v>
      </c>
    </row>
    <row r="20" spans="4:11" ht="149.25" customHeight="1" x14ac:dyDescent="0.15">
      <c r="D20" s="9">
        <f>ROW()-15</f>
        <v>5</v>
      </c>
      <c r="E20" s="5" t="s">
        <v>69</v>
      </c>
      <c r="F20" s="23" t="s">
        <v>85</v>
      </c>
      <c r="H20" s="1" t="s">
        <v>67</v>
      </c>
      <c r="I20" s="1" t="s">
        <v>68</v>
      </c>
      <c r="J20" s="1" t="s">
        <v>67</v>
      </c>
      <c r="K20" s="20" t="s">
        <v>38</v>
      </c>
    </row>
  </sheetData>
  <mergeCells count="3">
    <mergeCell ref="E18:F18"/>
    <mergeCell ref="H18:I18"/>
    <mergeCell ref="D18:D19"/>
  </mergeCells>
  <phoneticPr fontId="1"/>
  <hyperlinks>
    <hyperlink ref="E20" location="open21_kamoku!A1" display="Open21集計科目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81" fitToHeight="0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ボタン 2">
              <controlPr defaultSize="0" print="0" autoFill="0" autoPict="0" macro="[0]!CSV作成マクロ.Macro1">
                <anchor moveWithCells="1" sizeWithCells="1">
                  <from>
                    <xdr:col>8</xdr:col>
                    <xdr:colOff>171450</xdr:colOff>
                    <xdr:row>4</xdr:row>
                    <xdr:rowOff>9525</xdr:rowOff>
                  </from>
                  <to>
                    <xdr:col>8</xdr:col>
                    <xdr:colOff>2286000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B2:P24"/>
  <sheetViews>
    <sheetView view="pageBreakPreview" zoomScaleSheetLayoutView="100" workbookViewId="0"/>
  </sheetViews>
  <sheetFormatPr defaultRowHeight="13.5" x14ac:dyDescent="0.15"/>
  <cols>
    <col min="1" max="2" width="2.25" customWidth="1"/>
    <col min="3" max="3" width="4.5" bestFit="1" customWidth="1"/>
    <col min="4" max="4" width="8.125" bestFit="1" customWidth="1"/>
    <col min="5" max="5" width="14.75" bestFit="1" customWidth="1"/>
    <col min="6" max="6" width="8.25" bestFit="1" customWidth="1"/>
    <col min="7" max="7" width="5.375" bestFit="1" customWidth="1"/>
    <col min="8" max="8" width="6" bestFit="1" customWidth="1"/>
    <col min="9" max="9" width="35.75" hidden="1" customWidth="1"/>
    <col min="10" max="10" width="2.25" customWidth="1"/>
    <col min="11" max="11" width="4.5" bestFit="1" customWidth="1"/>
    <col min="12" max="12" width="17.125" bestFit="1" customWidth="1"/>
    <col min="13" max="13" width="24.875" bestFit="1" customWidth="1"/>
    <col min="14" max="14" width="8" bestFit="1" customWidth="1"/>
    <col min="15" max="15" width="9.25" bestFit="1" customWidth="1"/>
    <col min="16" max="16" width="11.75" bestFit="1" customWidth="1"/>
  </cols>
  <sheetData>
    <row r="2" spans="2:16" x14ac:dyDescent="0.15">
      <c r="B2" s="6" t="str">
        <f>[1]テーブルマッピング!E20</f>
        <v>（期別）財務仕訳</v>
      </c>
      <c r="D2" s="3"/>
      <c r="E2" s="3"/>
      <c r="F2" s="2"/>
      <c r="G2" s="2"/>
      <c r="H2" s="2"/>
      <c r="I2" s="2"/>
    </row>
    <row r="3" spans="2:16" x14ac:dyDescent="0.15">
      <c r="B3" s="10"/>
      <c r="C3" s="10" t="s">
        <v>12</v>
      </c>
      <c r="D3" s="3"/>
      <c r="E3" s="3"/>
      <c r="F3" s="2"/>
      <c r="G3" s="2"/>
      <c r="H3" s="2"/>
      <c r="I3" s="2"/>
    </row>
    <row r="4" spans="2:16" x14ac:dyDescent="0.15">
      <c r="B4" s="10"/>
      <c r="C4" s="10"/>
      <c r="D4" s="3"/>
      <c r="E4" s="3"/>
      <c r="F4" s="2"/>
      <c r="G4" s="2"/>
      <c r="H4" s="2"/>
      <c r="I4" s="2"/>
    </row>
    <row r="5" spans="2:16" x14ac:dyDescent="0.15">
      <c r="B5" s="10"/>
      <c r="C5" s="15" t="s">
        <v>70</v>
      </c>
      <c r="D5" s="7"/>
      <c r="E5" s="3"/>
      <c r="F5" s="2"/>
      <c r="G5" s="2"/>
      <c r="H5" s="19"/>
      <c r="I5" s="2"/>
      <c r="K5" s="8" t="s">
        <v>71</v>
      </c>
      <c r="P5" s="19"/>
    </row>
    <row r="6" spans="2:16" x14ac:dyDescent="0.15">
      <c r="C6" s="17" t="s">
        <v>7</v>
      </c>
      <c r="D6" s="17" t="s">
        <v>8</v>
      </c>
      <c r="E6" s="17" t="s">
        <v>9</v>
      </c>
      <c r="F6" s="17" t="s">
        <v>10</v>
      </c>
      <c r="G6" s="17" t="s">
        <v>5</v>
      </c>
      <c r="H6" s="17" t="s">
        <v>11</v>
      </c>
      <c r="I6" s="4" t="s">
        <v>6</v>
      </c>
      <c r="K6" s="16" t="s">
        <v>7</v>
      </c>
      <c r="L6" s="13" t="s">
        <v>13</v>
      </c>
      <c r="M6" s="11" t="s">
        <v>14</v>
      </c>
      <c r="N6" s="12" t="s">
        <v>15</v>
      </c>
      <c r="O6" s="12" t="s">
        <v>16</v>
      </c>
      <c r="P6" s="12" t="s">
        <v>72</v>
      </c>
    </row>
    <row r="7" spans="2:16" x14ac:dyDescent="0.15">
      <c r="C7" s="14">
        <v>1</v>
      </c>
      <c r="D7" s="1" t="s">
        <v>32</v>
      </c>
      <c r="E7" s="1" t="s">
        <v>34</v>
      </c>
      <c r="F7" s="1" t="s">
        <v>4</v>
      </c>
      <c r="G7" s="1"/>
      <c r="H7" s="1" t="s">
        <v>73</v>
      </c>
      <c r="I7" s="1"/>
      <c r="K7" s="14">
        <v>1</v>
      </c>
      <c r="L7" s="1" t="s">
        <v>34</v>
      </c>
      <c r="M7" s="1" t="s">
        <v>32</v>
      </c>
      <c r="N7" s="1" t="s">
        <v>4</v>
      </c>
      <c r="O7" s="1">
        <v>1</v>
      </c>
      <c r="P7" s="1" t="s">
        <v>72</v>
      </c>
    </row>
    <row r="8" spans="2:16" x14ac:dyDescent="0.15">
      <c r="C8" s="14">
        <v>2</v>
      </c>
      <c r="D8" s="1" t="s">
        <v>39</v>
      </c>
      <c r="E8" s="1" t="s">
        <v>40</v>
      </c>
      <c r="F8" s="1" t="s">
        <v>4</v>
      </c>
      <c r="G8" s="1"/>
      <c r="H8" s="1" t="s">
        <v>73</v>
      </c>
      <c r="I8" s="1"/>
      <c r="K8" s="14">
        <v>2</v>
      </c>
      <c r="L8" s="1" t="s">
        <v>40</v>
      </c>
      <c r="M8" s="1" t="s">
        <v>39</v>
      </c>
      <c r="N8" s="1" t="s">
        <v>4</v>
      </c>
      <c r="O8" s="1">
        <v>1</v>
      </c>
      <c r="P8" s="1" t="s">
        <v>72</v>
      </c>
    </row>
    <row r="9" spans="2:16" x14ac:dyDescent="0.15">
      <c r="C9" s="14">
        <v>3</v>
      </c>
      <c r="D9" s="1" t="s">
        <v>41</v>
      </c>
      <c r="E9" s="1" t="s">
        <v>42</v>
      </c>
      <c r="F9" s="1" t="s">
        <v>33</v>
      </c>
      <c r="G9" s="1"/>
      <c r="H9" s="1" t="s">
        <v>73</v>
      </c>
      <c r="I9" s="1"/>
      <c r="K9" s="14">
        <v>3</v>
      </c>
      <c r="L9" s="1" t="s">
        <v>42</v>
      </c>
      <c r="M9" s="1" t="s">
        <v>41</v>
      </c>
      <c r="N9" s="1" t="s">
        <v>33</v>
      </c>
      <c r="O9" s="1">
        <v>1</v>
      </c>
      <c r="P9" s="1" t="s">
        <v>72</v>
      </c>
    </row>
    <row r="10" spans="2:16" x14ac:dyDescent="0.15">
      <c r="C10" s="14">
        <v>4</v>
      </c>
      <c r="D10" s="1" t="s">
        <v>43</v>
      </c>
      <c r="E10" s="1" t="s">
        <v>44</v>
      </c>
      <c r="F10" s="1" t="s">
        <v>33</v>
      </c>
      <c r="G10" s="1"/>
      <c r="H10" s="1" t="s">
        <v>73</v>
      </c>
      <c r="I10" s="1"/>
      <c r="K10" s="14">
        <v>4</v>
      </c>
      <c r="L10" s="1" t="s">
        <v>44</v>
      </c>
      <c r="M10" s="1" t="s">
        <v>43</v>
      </c>
      <c r="N10" s="1" t="s">
        <v>33</v>
      </c>
      <c r="O10" s="1">
        <v>1</v>
      </c>
      <c r="P10" s="1" t="s">
        <v>72</v>
      </c>
    </row>
    <row r="11" spans="2:16" x14ac:dyDescent="0.15">
      <c r="C11" s="14">
        <v>5</v>
      </c>
      <c r="D11" s="1" t="s">
        <v>45</v>
      </c>
      <c r="E11" s="1" t="s">
        <v>46</v>
      </c>
      <c r="F11" s="1" t="s">
        <v>28</v>
      </c>
      <c r="G11" s="1"/>
      <c r="H11" s="1" t="s">
        <v>73</v>
      </c>
      <c r="I11" s="1"/>
      <c r="K11" s="14">
        <v>5</v>
      </c>
      <c r="L11" s="1" t="s">
        <v>46</v>
      </c>
      <c r="M11" s="1" t="s">
        <v>45</v>
      </c>
      <c r="N11" s="1" t="s">
        <v>28</v>
      </c>
      <c r="O11" s="1">
        <v>0</v>
      </c>
      <c r="P11" s="1" t="s">
        <v>72</v>
      </c>
    </row>
    <row r="12" spans="2:16" x14ac:dyDescent="0.15">
      <c r="C12" s="14">
        <v>6</v>
      </c>
      <c r="D12" s="1" t="s">
        <v>74</v>
      </c>
      <c r="E12" s="1" t="s">
        <v>75</v>
      </c>
      <c r="F12" s="1" t="s">
        <v>33</v>
      </c>
      <c r="G12" s="1"/>
      <c r="H12" s="1"/>
      <c r="I12" s="1"/>
      <c r="K12" s="14">
        <v>6</v>
      </c>
      <c r="L12" s="1" t="s">
        <v>75</v>
      </c>
      <c r="M12" s="1" t="s">
        <v>74</v>
      </c>
      <c r="N12" s="1" t="s">
        <v>25</v>
      </c>
      <c r="O12" s="1">
        <v>0</v>
      </c>
      <c r="P12" s="1" t="s">
        <v>72</v>
      </c>
    </row>
    <row r="13" spans="2:16" x14ac:dyDescent="0.15">
      <c r="C13" s="14">
        <v>7</v>
      </c>
      <c r="D13" s="1" t="s">
        <v>47</v>
      </c>
      <c r="E13" s="1" t="s">
        <v>48</v>
      </c>
      <c r="F13" s="1" t="s">
        <v>26</v>
      </c>
      <c r="G13" s="1"/>
      <c r="H13" s="1" t="s">
        <v>73</v>
      </c>
      <c r="I13" s="1"/>
      <c r="K13" s="14">
        <v>7</v>
      </c>
      <c r="L13" s="1" t="s">
        <v>48</v>
      </c>
      <c r="M13" s="1" t="s">
        <v>47</v>
      </c>
      <c r="N13" s="1" t="s">
        <v>26</v>
      </c>
      <c r="O13" s="1">
        <v>0</v>
      </c>
      <c r="P13" s="1" t="s">
        <v>72</v>
      </c>
    </row>
    <row r="14" spans="2:16" x14ac:dyDescent="0.15">
      <c r="C14" s="14">
        <v>8</v>
      </c>
      <c r="D14" s="1" t="s">
        <v>49</v>
      </c>
      <c r="E14" s="1" t="s">
        <v>50</v>
      </c>
      <c r="F14" s="1" t="s">
        <v>25</v>
      </c>
      <c r="G14" s="1"/>
      <c r="H14" s="1" t="s">
        <v>73</v>
      </c>
      <c r="I14" s="1"/>
      <c r="K14" s="14">
        <v>8</v>
      </c>
      <c r="L14" s="1" t="s">
        <v>50</v>
      </c>
      <c r="M14" s="1" t="s">
        <v>49</v>
      </c>
      <c r="N14" s="1" t="s">
        <v>25</v>
      </c>
      <c r="O14" s="1">
        <v>0</v>
      </c>
      <c r="P14" s="1" t="s">
        <v>72</v>
      </c>
    </row>
    <row r="15" spans="2:16" x14ac:dyDescent="0.15">
      <c r="C15" s="14">
        <v>9</v>
      </c>
      <c r="D15" s="1" t="s">
        <v>79</v>
      </c>
      <c r="E15" s="1" t="s">
        <v>80</v>
      </c>
      <c r="F15" s="1" t="s">
        <v>25</v>
      </c>
      <c r="G15" s="1">
        <v>12</v>
      </c>
      <c r="H15" s="1" t="s">
        <v>73</v>
      </c>
      <c r="I15" s="1"/>
      <c r="K15" s="14">
        <v>9</v>
      </c>
      <c r="L15" s="1" t="s">
        <v>81</v>
      </c>
      <c r="M15" s="1" t="s">
        <v>79</v>
      </c>
      <c r="N15" s="1" t="s">
        <v>25</v>
      </c>
      <c r="O15" s="1">
        <v>0</v>
      </c>
      <c r="P15" s="1" t="s">
        <v>72</v>
      </c>
    </row>
    <row r="16" spans="2:16" x14ac:dyDescent="0.15">
      <c r="C16" s="14">
        <v>10</v>
      </c>
      <c r="D16" s="1" t="s">
        <v>51</v>
      </c>
      <c r="E16" s="1" t="s">
        <v>52</v>
      </c>
      <c r="F16" s="1" t="s">
        <v>25</v>
      </c>
      <c r="G16" s="1"/>
      <c r="H16" s="1"/>
      <c r="I16" s="1"/>
      <c r="K16" s="14">
        <v>10</v>
      </c>
      <c r="L16" s="1" t="s">
        <v>52</v>
      </c>
      <c r="M16" s="1" t="s">
        <v>51</v>
      </c>
      <c r="N16" s="1" t="s">
        <v>25</v>
      </c>
      <c r="O16" s="1">
        <v>0</v>
      </c>
      <c r="P16" s="1" t="s">
        <v>72</v>
      </c>
    </row>
    <row r="17" spans="3:16" x14ac:dyDescent="0.15">
      <c r="C17" s="14">
        <v>11</v>
      </c>
      <c r="D17" s="1" t="s">
        <v>53</v>
      </c>
      <c r="E17" s="1" t="s">
        <v>54</v>
      </c>
      <c r="F17" s="1" t="s">
        <v>25</v>
      </c>
      <c r="G17" s="1"/>
      <c r="H17" s="1"/>
      <c r="I17" s="1"/>
      <c r="K17" s="14">
        <v>11</v>
      </c>
      <c r="L17" s="1" t="s">
        <v>54</v>
      </c>
      <c r="M17" s="1" t="s">
        <v>53</v>
      </c>
      <c r="N17" s="1" t="s">
        <v>25</v>
      </c>
      <c r="O17" s="1">
        <v>0</v>
      </c>
      <c r="P17" s="1" t="s">
        <v>72</v>
      </c>
    </row>
    <row r="18" spans="3:16" x14ac:dyDescent="0.15">
      <c r="C18" s="14">
        <v>12</v>
      </c>
      <c r="D18" s="1" t="s">
        <v>55</v>
      </c>
      <c r="E18" s="1" t="s">
        <v>56</v>
      </c>
      <c r="F18" s="1" t="s">
        <v>25</v>
      </c>
      <c r="G18" s="1"/>
      <c r="H18" s="1"/>
      <c r="I18" s="1"/>
      <c r="K18" s="14">
        <v>12</v>
      </c>
      <c r="L18" s="1" t="s">
        <v>56</v>
      </c>
      <c r="M18" s="1" t="s">
        <v>55</v>
      </c>
      <c r="N18" s="1" t="s">
        <v>25</v>
      </c>
      <c r="O18" s="1">
        <v>0</v>
      </c>
      <c r="P18" s="1" t="s">
        <v>72</v>
      </c>
    </row>
    <row r="19" spans="3:16" x14ac:dyDescent="0.15">
      <c r="C19" s="14">
        <v>13</v>
      </c>
      <c r="D19" s="1" t="s">
        <v>57</v>
      </c>
      <c r="E19" s="1" t="s">
        <v>58</v>
      </c>
      <c r="F19" s="1" t="s">
        <v>25</v>
      </c>
      <c r="G19" s="1"/>
      <c r="H19" s="1" t="s">
        <v>73</v>
      </c>
      <c r="I19" s="1"/>
      <c r="K19" s="14">
        <v>13</v>
      </c>
      <c r="L19" s="1" t="s">
        <v>58</v>
      </c>
      <c r="M19" s="1" t="s">
        <v>57</v>
      </c>
      <c r="N19" s="1" t="s">
        <v>25</v>
      </c>
      <c r="O19" s="1">
        <v>0</v>
      </c>
      <c r="P19" s="1" t="s">
        <v>72</v>
      </c>
    </row>
    <row r="20" spans="3:16" x14ac:dyDescent="0.15">
      <c r="C20" s="14">
        <v>14</v>
      </c>
      <c r="D20" s="1" t="s">
        <v>82</v>
      </c>
      <c r="E20" s="1" t="s">
        <v>83</v>
      </c>
      <c r="F20" s="1" t="s">
        <v>25</v>
      </c>
      <c r="G20" s="1">
        <v>12</v>
      </c>
      <c r="H20" s="1" t="s">
        <v>73</v>
      </c>
      <c r="I20" s="1"/>
      <c r="K20" s="14">
        <v>14</v>
      </c>
      <c r="L20" s="1" t="s">
        <v>84</v>
      </c>
      <c r="M20" s="1" t="s">
        <v>82</v>
      </c>
      <c r="N20" s="1" t="s">
        <v>25</v>
      </c>
      <c r="O20" s="1">
        <v>0</v>
      </c>
      <c r="P20" s="1" t="s">
        <v>72</v>
      </c>
    </row>
    <row r="21" spans="3:16" x14ac:dyDescent="0.15">
      <c r="C21" s="14">
        <v>15</v>
      </c>
      <c r="D21" s="1" t="s">
        <v>59</v>
      </c>
      <c r="E21" s="1" t="s">
        <v>60</v>
      </c>
      <c r="F21" s="1" t="s">
        <v>25</v>
      </c>
      <c r="G21" s="1"/>
      <c r="H21" s="1"/>
      <c r="I21" s="1"/>
      <c r="K21" s="14">
        <v>15</v>
      </c>
      <c r="L21" s="1" t="s">
        <v>60</v>
      </c>
      <c r="M21" s="1" t="s">
        <v>59</v>
      </c>
      <c r="N21" s="1" t="s">
        <v>25</v>
      </c>
      <c r="O21" s="1">
        <v>0</v>
      </c>
      <c r="P21" s="1" t="s">
        <v>72</v>
      </c>
    </row>
    <row r="22" spans="3:16" x14ac:dyDescent="0.15">
      <c r="C22" s="14">
        <v>16</v>
      </c>
      <c r="D22" s="1" t="s">
        <v>61</v>
      </c>
      <c r="E22" s="1" t="s">
        <v>62</v>
      </c>
      <c r="F22" s="1" t="s">
        <v>25</v>
      </c>
      <c r="G22" s="1"/>
      <c r="H22" s="1"/>
      <c r="I22" s="1"/>
      <c r="K22" s="14">
        <v>16</v>
      </c>
      <c r="L22" s="1" t="s">
        <v>62</v>
      </c>
      <c r="M22" s="1" t="s">
        <v>61</v>
      </c>
      <c r="N22" s="1" t="s">
        <v>25</v>
      </c>
      <c r="O22" s="1">
        <v>0</v>
      </c>
      <c r="P22" s="1" t="s">
        <v>72</v>
      </c>
    </row>
    <row r="23" spans="3:16" x14ac:dyDescent="0.15">
      <c r="C23" s="14">
        <v>17</v>
      </c>
      <c r="D23" s="1" t="s">
        <v>63</v>
      </c>
      <c r="E23" s="1" t="s">
        <v>64</v>
      </c>
      <c r="F23" s="1" t="s">
        <v>25</v>
      </c>
      <c r="G23" s="1"/>
      <c r="H23" s="1"/>
      <c r="I23" s="1"/>
      <c r="K23" s="14">
        <v>17</v>
      </c>
      <c r="L23" s="1" t="s">
        <v>64</v>
      </c>
      <c r="M23" s="1" t="s">
        <v>63</v>
      </c>
      <c r="N23" s="1" t="s">
        <v>25</v>
      </c>
      <c r="O23" s="1">
        <v>0</v>
      </c>
      <c r="P23" s="1" t="s">
        <v>72</v>
      </c>
    </row>
    <row r="24" spans="3:16" x14ac:dyDescent="0.15">
      <c r="C24" s="14">
        <v>18</v>
      </c>
      <c r="D24" s="1" t="s">
        <v>76</v>
      </c>
      <c r="E24" s="1" t="s">
        <v>77</v>
      </c>
      <c r="F24" s="1" t="s">
        <v>78</v>
      </c>
      <c r="G24" s="1"/>
      <c r="H24" s="1" t="s">
        <v>73</v>
      </c>
      <c r="I24" s="1"/>
      <c r="K24" s="14">
        <v>18</v>
      </c>
      <c r="L24" s="1" t="s">
        <v>77</v>
      </c>
      <c r="M24" s="1" t="s">
        <v>76</v>
      </c>
      <c r="N24" s="1" t="s">
        <v>78</v>
      </c>
      <c r="O24" s="1">
        <v>0</v>
      </c>
      <c r="P24" s="1" t="s">
        <v>72</v>
      </c>
    </row>
  </sheetData>
  <phoneticPr fontId="1"/>
  <hyperlinks>
    <hyperlink ref="C3" location="テーブルマッピング!A1" display="一覧へ戻る" xr:uid="{00000000-0004-0000-0100-000000000000}"/>
  </hyperlinks>
  <pageMargins left="0.70866141732283472" right="0.70866141732283472" top="0.74803149606299213" bottom="0.74803149606299213" header="0.31496062992125984" footer="0.31496062992125984"/>
  <pageSetup paperSize="9" fitToHeight="0"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テーブルマッピング</vt:lpstr>
      <vt:lpstr>（期別）財務仕訳</vt:lpstr>
      <vt:lpstr>'（期別）財務仕訳'!Print_Area</vt:lpstr>
      <vt:lpstr>テーブルマッピング!Print_Area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tashiro_yuuta</dc:creator>
  <cp:lastModifiedBy>fujimoto</cp:lastModifiedBy>
  <cp:lastPrinted>2014-06-13T05:06:16Z</cp:lastPrinted>
  <dcterms:created xsi:type="dcterms:W3CDTF">2014-04-14T08:56:55Z</dcterms:created>
  <dcterms:modified xsi:type="dcterms:W3CDTF">2018-12-12T02:29:13Z</dcterms:modified>
</cp:coreProperties>
</file>