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94" codeName="{3D1A710C-6663-3D7B-7F91-EC182F24A4BC}"/>
  <workbookPr codeName="ThisWorkbook"/>
  <mc:AlternateContent xmlns:mc="http://schemas.openxmlformats.org/markup-compatibility/2006">
    <mc:Choice Requires="x15">
      <x15ac:absPath xmlns:x15ac="http://schemas.microsoft.com/office/spreadsheetml/2010/11/ac" url="C:\Users\n_watanabe.BR-TOKYO\Desktop\西村作成\"/>
    </mc:Choice>
  </mc:AlternateContent>
  <xr:revisionPtr revIDLastSave="0" documentId="13_ncr:1_{B54A775B-BE89-4F46-89E8-D899C67C0335}" xr6:coauthVersionLast="36" xr6:coauthVersionMax="36" xr10:uidLastSave="{00000000-0000-0000-0000-000000000000}"/>
  <bookViews>
    <workbookView xWindow="-120" yWindow="-120" windowWidth="29040" windowHeight="17520" tabRatio="785" xr2:uid="{00000000-000D-0000-FFFF-FFFF00000000}"/>
  </bookViews>
  <sheets>
    <sheet name="設定情報一覧" sheetId="19928" r:id="rId1"/>
    <sheet name="制御" sheetId="19910" state="hidden" r:id="rId2"/>
    <sheet name="概要" sheetId="19917" r:id="rId3"/>
  </sheets>
  <definedNames>
    <definedName name="_xlnm._FilterDatabase" localSheetId="0" hidden="1">設定情報一覧!$B$6:$L$342</definedName>
    <definedName name="_xlnm.Print_Titles" localSheetId="2">概要!$1:$4</definedName>
    <definedName name="_xlnm.Print_Titles" localSheetId="0">設定情報一覧!$1:$4</definedName>
  </definedNames>
  <calcPr calcId="191029"/>
  <fileRecoveryPr autoRecover="0"/>
</workbook>
</file>

<file path=xl/calcChain.xml><?xml version="1.0" encoding="utf-8"?>
<calcChain xmlns="http://schemas.openxmlformats.org/spreadsheetml/2006/main">
  <c r="N339" i="19928" l="1"/>
  <c r="N338" i="19928"/>
  <c r="N337" i="19928"/>
  <c r="N336" i="19928"/>
  <c r="N224" i="19928" l="1"/>
  <c r="N225" i="19928"/>
  <c r="N304" i="19928"/>
  <c r="N303" i="19928" l="1"/>
  <c r="N335" i="19928" l="1"/>
  <c r="N334" i="19928"/>
  <c r="K310" i="19928" l="1"/>
  <c r="N310" i="19928" s="1"/>
  <c r="N32" i="19928" l="1"/>
  <c r="N33" i="19928"/>
  <c r="N28" i="19928" l="1"/>
  <c r="N313" i="19928" l="1"/>
  <c r="N341" i="19928" l="1"/>
  <c r="N342" i="19928"/>
  <c r="N180" i="19928" l="1"/>
  <c r="N178" i="19928"/>
  <c r="N205" i="19928" l="1"/>
  <c r="N204" i="19928"/>
  <c r="N203" i="19928"/>
  <c r="N202" i="19928"/>
  <c r="N201" i="19928"/>
  <c r="N200" i="19928"/>
  <c r="N199" i="19928"/>
  <c r="N198" i="19928"/>
  <c r="N197" i="19928"/>
  <c r="N196" i="19928"/>
  <c r="N195" i="19928"/>
  <c r="N194" i="19928"/>
  <c r="N193" i="19928"/>
  <c r="N192" i="19928"/>
  <c r="N191" i="19928" l="1"/>
  <c r="N262" i="19928" l="1"/>
  <c r="N261" i="19928"/>
  <c r="N260" i="19928"/>
  <c r="N259" i="19928"/>
  <c r="N258" i="19928"/>
  <c r="N257" i="19928"/>
  <c r="N256" i="19928"/>
  <c r="N255" i="19928"/>
  <c r="N254" i="19928"/>
  <c r="N253" i="19928"/>
  <c r="N252" i="19928"/>
  <c r="N251" i="19928"/>
  <c r="N41" i="19928" l="1"/>
  <c r="N40" i="19928"/>
  <c r="N270" i="19928" l="1"/>
  <c r="N269" i="19928"/>
  <c r="N268" i="19928"/>
  <c r="N333" i="19928"/>
  <c r="N332" i="19928"/>
  <c r="N249" i="19928" l="1"/>
  <c r="N248" i="19928"/>
  <c r="N247" i="19928"/>
  <c r="N246" i="19928"/>
  <c r="N245" i="19928"/>
  <c r="N244" i="19928"/>
  <c r="N243" i="19928"/>
  <c r="N242" i="19928"/>
  <c r="N241" i="19928"/>
  <c r="N240" i="19928"/>
  <c r="N239" i="19928"/>
  <c r="N238" i="19928"/>
  <c r="N237" i="19928"/>
  <c r="N236" i="19928"/>
  <c r="N235" i="19928"/>
  <c r="N234" i="19928"/>
  <c r="N233" i="19928"/>
  <c r="N232" i="19928"/>
  <c r="N231" i="19928"/>
  <c r="N230" i="19928"/>
  <c r="N229" i="19928"/>
  <c r="N228" i="19928"/>
  <c r="N227" i="19928"/>
  <c r="N226" i="19928"/>
  <c r="N293" i="19928" l="1"/>
  <c r="N24" i="19928" l="1"/>
  <c r="N26" i="19928" l="1"/>
  <c r="N35" i="19928" l="1"/>
  <c r="N331" i="19928" l="1"/>
  <c r="N330" i="19928"/>
  <c r="N329" i="19928"/>
  <c r="N328" i="19928"/>
  <c r="N327" i="19928"/>
  <c r="N326" i="19928"/>
  <c r="N325" i="19928"/>
  <c r="N324" i="19928"/>
  <c r="N323" i="19928"/>
  <c r="N322" i="19928"/>
  <c r="N321" i="19928"/>
  <c r="N320" i="19928"/>
  <c r="N319" i="19928"/>
  <c r="N318" i="19928"/>
  <c r="N317" i="19928"/>
  <c r="N316" i="19928"/>
  <c r="N315" i="19928"/>
  <c r="N314" i="19928"/>
  <c r="N312" i="19928"/>
  <c r="N308" i="19928"/>
  <c r="N307" i="19928"/>
  <c r="N306" i="19928"/>
  <c r="N305" i="19928"/>
  <c r="N302" i="19928"/>
  <c r="N301" i="19928"/>
  <c r="N300" i="19928"/>
  <c r="N299" i="19928"/>
  <c r="N298" i="19928"/>
  <c r="N297" i="19928"/>
  <c r="N296" i="19928"/>
  <c r="N295" i="19928"/>
  <c r="N294" i="19928"/>
  <c r="N340" i="19928"/>
  <c r="N292" i="19928"/>
  <c r="N291" i="19928"/>
  <c r="N290" i="19928"/>
  <c r="N289" i="19928"/>
  <c r="N288" i="19928"/>
  <c r="N287" i="19928"/>
  <c r="N286" i="19928"/>
  <c r="N285" i="19928"/>
  <c r="N284" i="19928"/>
  <c r="N283" i="19928"/>
  <c r="N282" i="19928"/>
  <c r="N281" i="19928"/>
  <c r="N280" i="19928"/>
  <c r="N279" i="19928"/>
  <c r="N278" i="19928"/>
  <c r="N277" i="19928"/>
  <c r="N276" i="19928"/>
  <c r="N275" i="19928"/>
  <c r="N274" i="19928"/>
  <c r="N273" i="19928"/>
  <c r="N272" i="19928"/>
  <c r="N271" i="19928"/>
  <c r="N267" i="19928"/>
  <c r="N266" i="19928"/>
  <c r="N265" i="19928"/>
  <c r="N250" i="19928"/>
  <c r="N223" i="19928"/>
  <c r="N222" i="19928"/>
  <c r="N221" i="19928"/>
  <c r="N220" i="19928"/>
  <c r="N219" i="19928"/>
  <c r="N218" i="19928"/>
  <c r="N217" i="19928"/>
  <c r="N216" i="19928"/>
  <c r="N215" i="19928"/>
  <c r="N214" i="19928"/>
  <c r="N213" i="19928"/>
  <c r="N212" i="19928"/>
  <c r="N211" i="19928"/>
  <c r="N210" i="19928"/>
  <c r="N209" i="19928"/>
  <c r="N208" i="19928"/>
  <c r="N207" i="19928"/>
  <c r="N206" i="19928"/>
  <c r="N190" i="19928"/>
  <c r="N189" i="19928"/>
  <c r="N188" i="19928"/>
  <c r="N187" i="19928"/>
  <c r="N186" i="19928"/>
  <c r="N185" i="19928"/>
  <c r="N184" i="19928"/>
  <c r="N183" i="19928"/>
  <c r="N182" i="19928"/>
  <c r="N181" i="19928"/>
  <c r="N179" i="19928"/>
  <c r="N177" i="19928"/>
  <c r="N176" i="19928"/>
  <c r="N175" i="19928"/>
  <c r="N174" i="19928"/>
  <c r="N173" i="19928"/>
  <c r="N172" i="19928"/>
  <c r="N171" i="19928"/>
  <c r="N170" i="19928"/>
  <c r="N169" i="19928"/>
  <c r="N168" i="19928"/>
  <c r="N167" i="19928"/>
  <c r="N166" i="19928"/>
  <c r="N165" i="19928"/>
  <c r="N164" i="19928"/>
  <c r="N163" i="19928"/>
  <c r="N162" i="19928"/>
  <c r="N161" i="19928"/>
  <c r="N160" i="19928"/>
  <c r="N159" i="19928"/>
  <c r="N158" i="19928"/>
  <c r="N157" i="19928"/>
  <c r="N156" i="19928"/>
  <c r="N155" i="19928"/>
  <c r="N154" i="19928"/>
  <c r="N153" i="19928"/>
  <c r="N152" i="19928"/>
  <c r="N151" i="19928"/>
  <c r="N150" i="19928"/>
  <c r="N149" i="19928"/>
  <c r="N148" i="19928"/>
  <c r="N147" i="19928"/>
  <c r="N146" i="19928"/>
  <c r="N145" i="19928"/>
  <c r="N144" i="19928"/>
  <c r="N143" i="19928"/>
  <c r="N142" i="19928"/>
  <c r="N141" i="19928"/>
  <c r="N140" i="19928"/>
  <c r="N139" i="19928"/>
  <c r="N138" i="19928"/>
  <c r="N137" i="19928"/>
  <c r="N136" i="19928"/>
  <c r="N135" i="19928"/>
  <c r="N134" i="19928"/>
  <c r="N133" i="19928"/>
  <c r="N132" i="19928"/>
  <c r="N131" i="19928"/>
  <c r="N130" i="19928"/>
  <c r="N129" i="19928"/>
  <c r="N128" i="19928"/>
  <c r="N127" i="19928"/>
  <c r="N126" i="19928"/>
  <c r="N125" i="19928"/>
  <c r="N124" i="19928"/>
  <c r="N123" i="19928"/>
  <c r="N122" i="19928"/>
  <c r="N121" i="19928"/>
  <c r="N120" i="19928"/>
  <c r="N119" i="19928"/>
  <c r="N118" i="19928"/>
  <c r="N117" i="19928"/>
  <c r="N116" i="19928"/>
  <c r="N115" i="19928"/>
  <c r="N114" i="19928"/>
  <c r="N113" i="19928"/>
  <c r="N112" i="19928"/>
  <c r="N111" i="19928"/>
  <c r="N110" i="19928"/>
  <c r="N109" i="19928"/>
  <c r="N108" i="19928"/>
  <c r="N107" i="19928"/>
  <c r="N106" i="19928"/>
  <c r="N105" i="19928"/>
  <c r="N104" i="19928"/>
  <c r="N103" i="19928"/>
  <c r="N102" i="19928"/>
  <c r="N101" i="19928"/>
  <c r="N100" i="19928"/>
  <c r="N99" i="19928"/>
  <c r="N98" i="19928"/>
  <c r="N97" i="19928"/>
  <c r="N96" i="19928"/>
  <c r="N95" i="19928"/>
  <c r="N94" i="19928"/>
  <c r="N93" i="19928"/>
  <c r="N92" i="19928"/>
  <c r="N91" i="19928"/>
  <c r="N90" i="19928"/>
  <c r="N89" i="19928"/>
  <c r="N88" i="19928"/>
  <c r="N87" i="19928"/>
  <c r="N86" i="19928"/>
  <c r="N85" i="19928"/>
  <c r="N84" i="19928"/>
  <c r="N83" i="19928"/>
  <c r="N82" i="19928"/>
  <c r="N81" i="19928"/>
  <c r="N80" i="19928"/>
  <c r="N79" i="19928"/>
  <c r="N78" i="19928"/>
  <c r="N77" i="19928"/>
  <c r="N76" i="19928"/>
  <c r="N75" i="19928"/>
  <c r="N74" i="19928"/>
  <c r="N73" i="19928"/>
  <c r="N72" i="19928"/>
  <c r="N71" i="19928"/>
  <c r="N70" i="19928"/>
  <c r="N69" i="19928"/>
  <c r="N68" i="19928"/>
  <c r="N67" i="19928"/>
  <c r="N7" i="19928"/>
  <c r="N8" i="19928"/>
  <c r="N9" i="19928"/>
  <c r="N10" i="19928"/>
  <c r="N11" i="19928"/>
  <c r="N12" i="19928"/>
  <c r="N13" i="19928"/>
  <c r="N14" i="19928"/>
  <c r="N15" i="19928"/>
  <c r="N16" i="19928"/>
  <c r="N17" i="19928"/>
  <c r="N18" i="19928"/>
  <c r="N19" i="19928"/>
  <c r="N20" i="19928"/>
  <c r="N21" i="19928"/>
  <c r="N22" i="19928"/>
  <c r="N23" i="19928"/>
  <c r="N25" i="19928"/>
  <c r="N27" i="19928"/>
  <c r="N31" i="19928"/>
  <c r="N34" i="19928"/>
  <c r="N36" i="19928"/>
  <c r="N37" i="19928"/>
  <c r="N38" i="19928"/>
  <c r="N39" i="19928"/>
  <c r="N42" i="19928"/>
  <c r="N43" i="19928"/>
  <c r="N44" i="19928"/>
  <c r="N45" i="19928"/>
  <c r="N46" i="19928"/>
  <c r="N47" i="19928"/>
  <c r="N48" i="19928"/>
  <c r="N49" i="19928"/>
  <c r="N50" i="19928"/>
  <c r="N51" i="19928"/>
  <c r="N52" i="19928"/>
  <c r="N53" i="19928"/>
  <c r="N54" i="19928"/>
  <c r="N55" i="19928"/>
  <c r="N56" i="19928"/>
  <c r="N57" i="19928"/>
  <c r="N58" i="19928"/>
  <c r="N59" i="19928"/>
  <c r="N60" i="19928"/>
  <c r="N61" i="19928"/>
  <c r="N62" i="19928"/>
  <c r="N63" i="19928"/>
  <c r="N64" i="19928"/>
  <c r="N65" i="19928"/>
  <c r="N66" i="19928"/>
  <c r="K311" i="19928" l="1"/>
  <c r="N311" i="19928" s="1"/>
  <c r="K309" i="19928"/>
  <c r="N309" i="1992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isogai</author>
  </authors>
  <commentList>
    <comment ref="F6" authorId="0" shapeId="0" xr:uid="{00000000-0006-0000-0000-000001000000}">
      <text>
        <r>
          <rPr>
            <b/>
            <sz val="9"/>
            <rFont val="ＭＳ Ｐゴシック"/>
            <family val="3"/>
            <charset val="128"/>
          </rPr>
          <t>載せるのはコードだけです。
フラグはここには記載不要。
'1'がON、'0'がOFF以外フラグの意味はないので、個別に定義してはだめ。
1/0以外に値があるならそれはフラグではなくコードなので、名前を「フラグ」ではなく「コードに変えて、この表に載せる」</t>
        </r>
      </text>
    </comment>
    <comment ref="K6" authorId="0" shapeId="0" xr:uid="{00000000-0006-0000-0000-000002000000}">
      <text>
        <r>
          <rPr>
            <b/>
            <sz val="9"/>
            <rFont val="ＭＳ Ｐゴシック"/>
            <family val="3"/>
            <charset val="128"/>
          </rPr>
          <t>Javaの定数にする場合、定数名を定義する。
定数化不要なコード（制御に関係ないコード）については、空にしておいてよい。</t>
        </r>
      </text>
    </comment>
  </commentList>
</comments>
</file>

<file path=xl/sharedStrings.xml><?xml version="1.0" encoding="utf-8"?>
<sst xmlns="http://schemas.openxmlformats.org/spreadsheetml/2006/main" count="3310" uniqueCount="1423">
  <si>
    <t>ｚ</t>
    <phoneticPr fontId="5"/>
  </si>
  <si>
    <t>修正後、マクロでCSVを生成。EXCELとCSV、DBは必ず同期をとってください。　　　Version単位で修正箇所を赤字にしてもられるとありがたい。</t>
    <rPh sb="51" eb="53">
      <t>タンイ</t>
    </rPh>
    <rPh sb="54" eb="58">
      <t>シュウセイカショ</t>
    </rPh>
    <rPh sb="59" eb="61">
      <t>アカジ</t>
    </rPh>
    <phoneticPr fontId="5"/>
  </si>
  <si>
    <t>カテゴリ</t>
    <phoneticPr fontId="5"/>
  </si>
  <si>
    <t>DE3</t>
    <phoneticPr fontId="5"/>
  </si>
  <si>
    <t>SIAS</t>
    <phoneticPr fontId="5"/>
  </si>
  <si>
    <t>設定名（和名）</t>
    <rPh sb="0" eb="3">
      <t>セッテイメイ</t>
    </rPh>
    <rPh sb="4" eb="6">
      <t>ワメイ</t>
    </rPh>
    <phoneticPr fontId="5"/>
  </si>
  <si>
    <t>設定名（物理名）
setting_name カラム</t>
    <rPh sb="0" eb="2">
      <t>セッテイ</t>
    </rPh>
    <rPh sb="2" eb="3">
      <t>メイ</t>
    </rPh>
    <rPh sb="4" eb="6">
      <t>ブツリ</t>
    </rPh>
    <rPh sb="6" eb="7">
      <t>メイ</t>
    </rPh>
    <phoneticPr fontId="5"/>
  </si>
  <si>
    <t>暫定値（暫定値）
setting_val カラム</t>
    <rPh sb="0" eb="3">
      <t>ザンテイチ</t>
    </rPh>
    <rPh sb="4" eb="7">
      <t>ザンテイチ</t>
    </rPh>
    <phoneticPr fontId="5"/>
  </si>
  <si>
    <t>変更可能
(1:可能、0:不可能、2:システム管理者のみ可能。)</t>
    <rPh sb="0" eb="2">
      <t>ヘンコウ</t>
    </rPh>
    <rPh sb="2" eb="4">
      <t>カノウ</t>
    </rPh>
    <rPh sb="8" eb="10">
      <t>カノウ</t>
    </rPh>
    <rPh sb="13" eb="16">
      <t>フカノウ</t>
    </rPh>
    <rPh sb="23" eb="26">
      <t>カンリシャ</t>
    </rPh>
    <rPh sb="28" eb="30">
      <t>カノウ</t>
    </rPh>
    <phoneticPr fontId="5"/>
  </si>
  <si>
    <t>必須
(1:必須、0:任意/変更不可能)</t>
    <rPh sb="0" eb="2">
      <t>ヒッス</t>
    </rPh>
    <rPh sb="6" eb="8">
      <t>ヒッス</t>
    </rPh>
    <rPh sb="11" eb="13">
      <t>ニンイ</t>
    </rPh>
    <rPh sb="14" eb="16">
      <t>ヘンコウ</t>
    </rPh>
    <rPh sb="16" eb="19">
      <t>フカノウ</t>
    </rPh>
    <phoneticPr fontId="5"/>
  </si>
  <si>
    <t>フォーマットチェックの
正規表現</t>
    <rPh sb="12" eb="14">
      <t>セイキ</t>
    </rPh>
    <rPh sb="14" eb="16">
      <t>ヒョウゲン</t>
    </rPh>
    <phoneticPr fontId="5"/>
  </si>
  <si>
    <t>Java定数名</t>
    <rPh sb="4" eb="7">
      <t>テイスウメイ</t>
    </rPh>
    <phoneticPr fontId="5"/>
  </si>
  <si>
    <t>説明</t>
    <rPh sb="0" eb="2">
      <t>セツメイ</t>
    </rPh>
    <phoneticPr fontId="5"/>
  </si>
  <si>
    <t>相関チェック</t>
    <rPh sb="0" eb="2">
      <t>ソウカン</t>
    </rPh>
    <phoneticPr fontId="5"/>
  </si>
  <si>
    <t>生成ソース用ローワーキャメル</t>
    <rPh sb="0" eb="2">
      <t>セイセイ</t>
    </rPh>
    <rPh sb="5" eb="6">
      <t>ヨウ</t>
    </rPh>
    <phoneticPr fontId="5"/>
  </si>
  <si>
    <t>メール配信(2)</t>
    <rPh sb="3" eb="5">
      <t>ハイシン</t>
    </rPh>
    <phoneticPr fontId="5"/>
  </si>
  <si>
    <t>●</t>
    <phoneticPr fontId="5"/>
  </si>
  <si>
    <t>アプリURL</t>
    <phoneticPr fontId="5"/>
  </si>
  <si>
    <t>appl_url</t>
    <phoneticPr fontId="5"/>
  </si>
  <si>
    <t>http://localhost/eteam/main/appl/</t>
    <phoneticPr fontId="5"/>
  </si>
  <si>
    <t>2</t>
    <phoneticPr fontId="5"/>
  </si>
  <si>
    <t>1</t>
    <phoneticPr fontId="5"/>
  </si>
  <si>
    <t>SHOTODOKE_URL</t>
    <phoneticPr fontId="5"/>
  </si>
  <si>
    <t>アプリのURL
駅すぱあと連携やメールに記載するURLに使用する。</t>
    <rPh sb="8" eb="9">
      <t>エキ</t>
    </rPh>
    <rPh sb="13" eb="15">
      <t>レンケイ</t>
    </rPh>
    <rPh sb="20" eb="22">
      <t>キサイ</t>
    </rPh>
    <rPh sb="28" eb="30">
      <t>シヨウ</t>
    </rPh>
    <phoneticPr fontId="5"/>
  </si>
  <si>
    <t>メール通知システム名</t>
    <rPh sb="3" eb="5">
      <t>ツウチ</t>
    </rPh>
    <rPh sb="9" eb="10">
      <t>メイ</t>
    </rPh>
    <phoneticPr fontId="5"/>
  </si>
  <si>
    <t>mail_tsuuchi_system_name</t>
    <phoneticPr fontId="5"/>
  </si>
  <si>
    <t>OPEN21 Workflow</t>
    <phoneticPr fontId="5"/>
  </si>
  <si>
    <t>MAIL_TSUUCHI_SYSTEM_NAME</t>
    <phoneticPr fontId="5"/>
  </si>
  <si>
    <t>システム名。メール通知等の文言に使用される。</t>
    <rPh sb="4" eb="5">
      <t>メイ</t>
    </rPh>
    <rPh sb="9" eb="11">
      <t>ツウチ</t>
    </rPh>
    <rPh sb="11" eb="12">
      <t>ナド</t>
    </rPh>
    <rPh sb="13" eb="15">
      <t>モンゴン</t>
    </rPh>
    <rPh sb="16" eb="18">
      <t>シヨウ</t>
    </rPh>
    <phoneticPr fontId="5"/>
  </si>
  <si>
    <t>アカウントセキュリティ</t>
    <phoneticPr fontId="5"/>
  </si>
  <si>
    <t>パスワードの最小文字数</t>
    <rPh sb="6" eb="8">
      <t>サイショウ</t>
    </rPh>
    <rPh sb="8" eb="11">
      <t>モジスウ</t>
    </rPh>
    <phoneticPr fontId="5"/>
  </si>
  <si>
    <t>password_len_min</t>
    <phoneticPr fontId="5"/>
  </si>
  <si>
    <t>8</t>
    <phoneticPr fontId="5"/>
  </si>
  <si>
    <t>([1-9]|[12]\d|3[0-2])</t>
    <phoneticPr fontId="5"/>
  </si>
  <si>
    <t>PASS_LEN_MIN</t>
    <phoneticPr fontId="5"/>
  </si>
  <si>
    <t>有効なパスワードの最小の長さ。
1～32</t>
    <rPh sb="0" eb="2">
      <t>ユウコウ</t>
    </rPh>
    <rPh sb="9" eb="11">
      <t>サイショウ</t>
    </rPh>
    <rPh sb="12" eb="13">
      <t>ナガ</t>
    </rPh>
    <phoneticPr fontId="5"/>
  </si>
  <si>
    <t>パスワードの最小文字種類</t>
    <rPh sb="6" eb="8">
      <t>サイショウ</t>
    </rPh>
    <rPh sb="8" eb="10">
      <t>モジ</t>
    </rPh>
    <rPh sb="10" eb="12">
      <t>シュルイ</t>
    </rPh>
    <phoneticPr fontId="5"/>
  </si>
  <si>
    <t>password_kind_min</t>
    <phoneticPr fontId="5"/>
  </si>
  <si>
    <t>3</t>
    <phoneticPr fontId="5"/>
  </si>
  <si>
    <t>[1-4]</t>
    <phoneticPr fontId="5"/>
  </si>
  <si>
    <t>PASS_KIND_MIN</t>
    <phoneticPr fontId="5"/>
  </si>
  <si>
    <t>パスワードに何種類の文字が含まれるべきかを表す数。
1～4（大文字・小文字・数字・記号）</t>
    <rPh sb="6" eb="9">
      <t>ナンシュルイ</t>
    </rPh>
    <rPh sb="10" eb="12">
      <t>モジ</t>
    </rPh>
    <rPh sb="13" eb="14">
      <t>フク</t>
    </rPh>
    <rPh sb="21" eb="22">
      <t>アラワ</t>
    </rPh>
    <rPh sb="23" eb="24">
      <t>カズ</t>
    </rPh>
    <rPh sb="30" eb="33">
      <t>オオモジ</t>
    </rPh>
    <rPh sb="34" eb="37">
      <t>コモジ</t>
    </rPh>
    <rPh sb="38" eb="40">
      <t>スウジ</t>
    </rPh>
    <rPh sb="41" eb="43">
      <t>キゴウ</t>
    </rPh>
    <phoneticPr fontId="5"/>
  </si>
  <si>
    <t>パスワードの有効期間(日数)</t>
    <rPh sb="6" eb="8">
      <t>ユウコウ</t>
    </rPh>
    <rPh sb="8" eb="10">
      <t>キカン</t>
    </rPh>
    <rPh sb="11" eb="13">
      <t>ニッスウ</t>
    </rPh>
    <phoneticPr fontId="5"/>
  </si>
  <si>
    <t>password_valid_term</t>
    <phoneticPr fontId="5"/>
  </si>
  <si>
    <t>0</t>
    <phoneticPr fontId="5"/>
  </si>
  <si>
    <t>(0|[1-9]\d{0,2})</t>
    <phoneticPr fontId="5"/>
  </si>
  <si>
    <t>PASS_VALID_TERM</t>
    <phoneticPr fontId="5"/>
  </si>
  <si>
    <t>パスワードの有効期間（日数）
0～999 （0の場合無期限）</t>
    <rPh sb="6" eb="8">
      <t>ユウコウ</t>
    </rPh>
    <rPh sb="8" eb="10">
      <t>キカン</t>
    </rPh>
    <rPh sb="11" eb="13">
      <t>ニッスウ</t>
    </rPh>
    <rPh sb="26" eb="29">
      <t>ムキゲン</t>
    </rPh>
    <phoneticPr fontId="5"/>
  </si>
  <si>
    <t>アカウント一時ロックするパスワード誤り回数</t>
    <rPh sb="5" eb="7">
      <t>イチジ</t>
    </rPh>
    <rPh sb="17" eb="18">
      <t>アヤマ</t>
    </rPh>
    <rPh sb="19" eb="21">
      <t>カイスウ</t>
    </rPh>
    <phoneticPr fontId="5"/>
  </si>
  <si>
    <t>password_lock_num</t>
    <phoneticPr fontId="5"/>
  </si>
  <si>
    <t>PASS_LOCK_NUM</t>
    <phoneticPr fontId="5"/>
  </si>
  <si>
    <t>誤ったパスワードを入力した際にアカウントがロックされるまでの回数。
0～999 （0の場合ロックしない）</t>
    <rPh sb="0" eb="1">
      <t>アヤマ</t>
    </rPh>
    <rPh sb="9" eb="11">
      <t>ニュウリョク</t>
    </rPh>
    <rPh sb="13" eb="14">
      <t>サイ</t>
    </rPh>
    <rPh sb="30" eb="32">
      <t>カイスウ</t>
    </rPh>
    <rPh sb="43" eb="45">
      <t>バアイ</t>
    </rPh>
    <phoneticPr fontId="5"/>
  </si>
  <si>
    <t>アカウント一時ロック時間(分)</t>
    <rPh sb="5" eb="7">
      <t>イチジ</t>
    </rPh>
    <rPh sb="10" eb="12">
      <t>ジカン</t>
    </rPh>
    <rPh sb="13" eb="14">
      <t>フン</t>
    </rPh>
    <phoneticPr fontId="5"/>
  </si>
  <si>
    <t>password_lock_term</t>
    <phoneticPr fontId="5"/>
  </si>
  <si>
    <t>30</t>
    <phoneticPr fontId="5"/>
  </si>
  <si>
    <t>(0|[1-9]\d{0,5})</t>
    <phoneticPr fontId="5"/>
  </si>
  <si>
    <t>PASS_LOCK_TERM</t>
    <phoneticPr fontId="5"/>
  </si>
  <si>
    <t>アカウントがロックされている時間（分）
0～999999 （0の場合無期限）</t>
    <rPh sb="14" eb="16">
      <t>ジカン</t>
    </rPh>
    <rPh sb="17" eb="18">
      <t>フン</t>
    </rPh>
    <rPh sb="32" eb="34">
      <t>バアイ</t>
    </rPh>
    <rPh sb="34" eb="37">
      <t>ムキゲン</t>
    </rPh>
    <phoneticPr fontId="5"/>
  </si>
  <si>
    <t>初期パスワードの変更を必須とする</t>
    <rPh sb="0" eb="2">
      <t>ショキ</t>
    </rPh>
    <rPh sb="8" eb="10">
      <t>ヘンコウ</t>
    </rPh>
    <rPh sb="11" eb="13">
      <t>ヒッス</t>
    </rPh>
    <phoneticPr fontId="5"/>
  </si>
  <si>
    <t>require_password_change</t>
    <phoneticPr fontId="5"/>
  </si>
  <si>
    <t>(0|1)</t>
    <phoneticPr fontId="5"/>
  </si>
  <si>
    <t>REQUIRE_PASS_CHANGE</t>
    <phoneticPr fontId="5"/>
  </si>
  <si>
    <t>初期パスワードの変更をユーザーに強制するかどうか。
0：パスワード変更を必須としない。
1：パスワード変更を必須とする。</t>
    <rPh sb="0" eb="2">
      <t>ショキ</t>
    </rPh>
    <rPh sb="8" eb="10">
      <t>ヘンコウ</t>
    </rPh>
    <rPh sb="16" eb="18">
      <t>キョウセイ</t>
    </rPh>
    <rPh sb="33" eb="35">
      <t>ヘンコウ</t>
    </rPh>
    <rPh sb="36" eb="38">
      <t>ヒッス</t>
    </rPh>
    <rPh sb="51" eb="53">
      <t>ヘンコウ</t>
    </rPh>
    <rPh sb="54" eb="56">
      <t>ヒッス</t>
    </rPh>
    <phoneticPr fontId="5"/>
  </si>
  <si>
    <t>駅すぱあと連携</t>
    <rPh sb="0" eb="1">
      <t>エキ</t>
    </rPh>
    <rPh sb="5" eb="7">
      <t>レンケイ</t>
    </rPh>
    <phoneticPr fontId="5"/>
  </si>
  <si>
    <t>連携フラグ</t>
    <rPh sb="0" eb="2">
      <t>レンケイ</t>
    </rPh>
    <phoneticPr fontId="5"/>
  </si>
  <si>
    <t>intra_flg</t>
    <phoneticPr fontId="5"/>
  </si>
  <si>
    <t>9</t>
    <phoneticPr fontId="5"/>
  </si>
  <si>
    <t>(0|1|9)</t>
    <phoneticPr fontId="5"/>
  </si>
  <si>
    <t>INTRA_FLG</t>
    <phoneticPr fontId="5"/>
  </si>
  <si>
    <t>駅すぱあとの連携方法。
0：WebService版、1：イントラ版、9：連携しない。</t>
    <rPh sb="0" eb="1">
      <t>エキ</t>
    </rPh>
    <rPh sb="6" eb="8">
      <t>レンケイ</t>
    </rPh>
    <rPh sb="8" eb="10">
      <t>ホウホウ</t>
    </rPh>
    <rPh sb="24" eb="25">
      <t>バン</t>
    </rPh>
    <rPh sb="36" eb="38">
      <t>レンンケイ</t>
    </rPh>
    <phoneticPr fontId="5"/>
  </si>
  <si>
    <t>イントラ版起動URL</t>
    <phoneticPr fontId="5"/>
  </si>
  <si>
    <t>intra_action</t>
    <phoneticPr fontId="5"/>
  </si>
  <si>
    <t>http://localhost/expwww2/expcgi.exe</t>
    <phoneticPr fontId="5"/>
  </si>
  <si>
    <t>EKISPERT_INTRA_ACTION_URL</t>
    <phoneticPr fontId="5"/>
  </si>
  <si>
    <t>駅すぱあとイントラ版の起動URL。
以下のような、イントラ版のインストール先ホストのURL。
http：//localhost/expwww2/expcgi.exe</t>
    <rPh sb="0" eb="1">
      <t>エキ</t>
    </rPh>
    <rPh sb="9" eb="10">
      <t>バン</t>
    </rPh>
    <rPh sb="11" eb="13">
      <t>キドウ</t>
    </rPh>
    <rPh sb="18" eb="20">
      <t>イカ</t>
    </rPh>
    <rPh sb="29" eb="30">
      <t>バン</t>
    </rPh>
    <rPh sb="37" eb="38">
      <t>サキ</t>
    </rPh>
    <phoneticPr fontId="5"/>
  </si>
  <si>
    <t>Webサービス駅名検索URL</t>
    <rPh sb="7" eb="9">
      <t>エキメイ</t>
    </rPh>
    <rPh sb="9" eb="11">
      <t>ケンサク</t>
    </rPh>
    <phoneticPr fontId="5"/>
  </si>
  <si>
    <t>ekispert_web_url_station</t>
    <phoneticPr fontId="5"/>
  </si>
  <si>
    <t>http://api.ekispert.jp/v1/xml/station/light?</t>
    <phoneticPr fontId="5"/>
  </si>
  <si>
    <t>EKISPERT_WEB_URL_STATION</t>
    <phoneticPr fontId="5"/>
  </si>
  <si>
    <t>駅すぱあとWebService版で駅名を取得する際のURL。</t>
    <rPh sb="0" eb="1">
      <t>エキ</t>
    </rPh>
    <rPh sb="15" eb="16">
      <t>バン</t>
    </rPh>
    <rPh sb="17" eb="19">
      <t>エキメイ</t>
    </rPh>
    <rPh sb="20" eb="22">
      <t>シュトク</t>
    </rPh>
    <rPh sb="24" eb="25">
      <t>サイ</t>
    </rPh>
    <phoneticPr fontId="5"/>
  </si>
  <si>
    <t>Webサービス経路検索URL</t>
    <rPh sb="7" eb="9">
      <t>ケイロ</t>
    </rPh>
    <rPh sb="9" eb="11">
      <t>ケンサク</t>
    </rPh>
    <phoneticPr fontId="5"/>
  </si>
  <si>
    <t>ekispert_web_url_route</t>
    <phoneticPr fontId="5"/>
  </si>
  <si>
    <t>http://api.ekispert.jp/v1/xml/search/course/extreme?</t>
    <phoneticPr fontId="5"/>
  </si>
  <si>
    <t>EKISPERT_WEB_URL_ROUTE</t>
    <phoneticPr fontId="5"/>
  </si>
  <si>
    <t>駅すぱあとWebService版で経路を取得する際のURL。</t>
    <rPh sb="0" eb="1">
      <t>エキ</t>
    </rPh>
    <rPh sb="15" eb="16">
      <t>バン</t>
    </rPh>
    <rPh sb="17" eb="19">
      <t>ケイロ</t>
    </rPh>
    <rPh sb="20" eb="22">
      <t>シュトク</t>
    </rPh>
    <rPh sb="24" eb="25">
      <t>サイ</t>
    </rPh>
    <phoneticPr fontId="5"/>
  </si>
  <si>
    <t>Webサービス路線図一覧検索URL</t>
    <rPh sb="7" eb="9">
      <t>ロセン</t>
    </rPh>
    <rPh sb="9" eb="10">
      <t>ズ</t>
    </rPh>
    <rPh sb="10" eb="12">
      <t>イチラン</t>
    </rPh>
    <rPh sb="12" eb="14">
      <t>ケンサク</t>
    </rPh>
    <phoneticPr fontId="5"/>
  </si>
  <si>
    <t>ekispert_web_url_map_list</t>
    <phoneticPr fontId="5"/>
  </si>
  <si>
    <t>http://api.ekispert.jp/v1/xml/railmap/list?</t>
    <phoneticPr fontId="5"/>
  </si>
  <si>
    <t>EKISPERT_WEB_URL_MAP_LIST</t>
    <phoneticPr fontId="5"/>
  </si>
  <si>
    <t>駅すぱあとWebService版で路線図一覧を取得する際のURL。</t>
    <rPh sb="0" eb="1">
      <t>エキ</t>
    </rPh>
    <rPh sb="15" eb="16">
      <t>バン</t>
    </rPh>
    <rPh sb="17" eb="19">
      <t>ロセン</t>
    </rPh>
    <rPh sb="19" eb="20">
      <t>ズ</t>
    </rPh>
    <rPh sb="20" eb="22">
      <t>イチラン</t>
    </rPh>
    <rPh sb="23" eb="25">
      <t>シュトク</t>
    </rPh>
    <rPh sb="27" eb="28">
      <t>サイ</t>
    </rPh>
    <phoneticPr fontId="5"/>
  </si>
  <si>
    <t>Webサービス路線図駅名検索URL</t>
    <rPh sb="7" eb="9">
      <t>ロセン</t>
    </rPh>
    <rPh sb="9" eb="10">
      <t>ズ</t>
    </rPh>
    <rPh sb="10" eb="12">
      <t>エキメイ</t>
    </rPh>
    <rPh sb="12" eb="14">
      <t>ケンサク</t>
    </rPh>
    <phoneticPr fontId="5"/>
  </si>
  <si>
    <t>ekispert_web_url_map_station</t>
    <phoneticPr fontId="5"/>
  </si>
  <si>
    <t>http://api.ekispert.jp/v1/xml/railmap/detail?</t>
    <phoneticPr fontId="5"/>
  </si>
  <si>
    <t>EKISPERT_WEB_URL_MAP_STATON</t>
    <phoneticPr fontId="5"/>
  </si>
  <si>
    <t>駅すぱあとWebService版で路線図内の駅名を取得する際のURL。</t>
    <rPh sb="0" eb="1">
      <t>エキ</t>
    </rPh>
    <rPh sb="15" eb="16">
      <t>バン</t>
    </rPh>
    <rPh sb="17" eb="19">
      <t>ロセン</t>
    </rPh>
    <rPh sb="19" eb="20">
      <t>ズ</t>
    </rPh>
    <rPh sb="20" eb="21">
      <t>ナイ</t>
    </rPh>
    <rPh sb="22" eb="24">
      <t>エキメイ</t>
    </rPh>
    <rPh sb="25" eb="27">
      <t>シュトク</t>
    </rPh>
    <rPh sb="29" eb="30">
      <t>サイ</t>
    </rPh>
    <phoneticPr fontId="5"/>
  </si>
  <si>
    <t>Webサービス路線図取得URL</t>
    <rPh sb="7" eb="9">
      <t>ロセン</t>
    </rPh>
    <rPh sb="9" eb="10">
      <t>ズ</t>
    </rPh>
    <rPh sb="10" eb="12">
      <t>シュトク</t>
    </rPh>
    <phoneticPr fontId="5"/>
  </si>
  <si>
    <t>ekispert_web_url_map_image</t>
    <phoneticPr fontId="5"/>
  </si>
  <si>
    <t>http://api.ekispert.jp/v1/xml/railmap/data?</t>
    <phoneticPr fontId="5"/>
  </si>
  <si>
    <t>EKISPERT_WEB_URL_MAP_IMAGE</t>
    <phoneticPr fontId="5"/>
  </si>
  <si>
    <t>駅すぱあとWebService版で路線図を取得する際のURL。</t>
    <rPh sb="0" eb="1">
      <t>エキ</t>
    </rPh>
    <rPh sb="15" eb="16">
      <t>バン</t>
    </rPh>
    <rPh sb="17" eb="19">
      <t>ロセン</t>
    </rPh>
    <rPh sb="19" eb="20">
      <t>ズ</t>
    </rPh>
    <rPh sb="21" eb="23">
      <t>シュトク</t>
    </rPh>
    <rPh sb="25" eb="26">
      <t>サイ</t>
    </rPh>
    <phoneticPr fontId="5"/>
  </si>
  <si>
    <t>Webサービス探索条件生成URL</t>
    <rPh sb="7" eb="9">
      <t>タンサク</t>
    </rPh>
    <rPh sb="9" eb="11">
      <t>ジョウケン</t>
    </rPh>
    <rPh sb="11" eb="13">
      <t>セイセイ</t>
    </rPh>
    <phoneticPr fontId="5"/>
  </si>
  <si>
    <t>ekispert_web_search</t>
    <phoneticPr fontId="5"/>
  </si>
  <si>
    <t>http://api.ekispert.jp/v1/xml/toolbox/course/condition?</t>
    <phoneticPr fontId="5"/>
  </si>
  <si>
    <t>EKISPERT_WEB_SEARCH</t>
    <phoneticPr fontId="5"/>
  </si>
  <si>
    <t>駅すぱあとWebService版で探索条件を生成する際のURL。</t>
    <rPh sb="0" eb="1">
      <t>エキ</t>
    </rPh>
    <rPh sb="15" eb="16">
      <t>バン</t>
    </rPh>
    <rPh sb="17" eb="19">
      <t>タンサク</t>
    </rPh>
    <rPh sb="19" eb="21">
      <t>ジョウケン</t>
    </rPh>
    <rPh sb="22" eb="24">
      <t>セイセイ</t>
    </rPh>
    <rPh sb="26" eb="27">
      <t>サイ</t>
    </rPh>
    <phoneticPr fontId="5"/>
  </si>
  <si>
    <t>IC使用区分</t>
    <rPh sb="2" eb="4">
      <t>シヨウ</t>
    </rPh>
    <rPh sb="4" eb="6">
      <t>クブン</t>
    </rPh>
    <phoneticPr fontId="5"/>
  </si>
  <si>
    <t>ekispert_ic_kbn</t>
    <phoneticPr fontId="5"/>
  </si>
  <si>
    <t>ic</t>
    <phoneticPr fontId="5"/>
  </si>
  <si>
    <t>(ic|normal)</t>
    <phoneticPr fontId="5"/>
  </si>
  <si>
    <t>EKISPERT_IC_KBN</t>
    <phoneticPr fontId="5"/>
  </si>
  <si>
    <t>ICカードを使用する：ic
ICカードを使用しない：normal</t>
    <rPh sb="6" eb="8">
      <t>シヨウ</t>
    </rPh>
    <rPh sb="20" eb="22">
      <t>シヨウ</t>
    </rPh>
    <phoneticPr fontId="5"/>
  </si>
  <si>
    <t>IC乗車券区分の全社指定</t>
    <rPh sb="2" eb="5">
      <t>ジョウシャケン</t>
    </rPh>
    <rPh sb="5" eb="7">
      <t>クブン</t>
    </rPh>
    <rPh sb="8" eb="10">
      <t>ゼンシャ</t>
    </rPh>
    <rPh sb="10" eb="12">
      <t>シテイ</t>
    </rPh>
    <phoneticPr fontId="5"/>
  </si>
  <si>
    <t>ekispert_ic_zenshashitei</t>
    <phoneticPr fontId="5"/>
  </si>
  <si>
    <t>(1|2)</t>
    <phoneticPr fontId="5"/>
  </si>
  <si>
    <t>EKISPERT_IC_ZENSHASHITEI</t>
    <phoneticPr fontId="5"/>
  </si>
  <si>
    <t>経路検索条件において、ICカード乗車券の利用種別を全社で統一するか個別に設定するかを指定。
1：全社設定
2：個別設定</t>
    <rPh sb="0" eb="2">
      <t>ケイロ</t>
    </rPh>
    <rPh sb="2" eb="4">
      <t>ケンサク</t>
    </rPh>
    <rPh sb="4" eb="6">
      <t>ジョウケン</t>
    </rPh>
    <rPh sb="16" eb="19">
      <t>ジョウシャケン</t>
    </rPh>
    <rPh sb="20" eb="22">
      <t>リヨウ</t>
    </rPh>
    <rPh sb="22" eb="24">
      <t>シュベツ</t>
    </rPh>
    <rPh sb="25" eb="27">
      <t>ゼンシャ</t>
    </rPh>
    <rPh sb="28" eb="30">
      <t>トウイツ</t>
    </rPh>
    <rPh sb="33" eb="35">
      <t>コベツ</t>
    </rPh>
    <rPh sb="36" eb="38">
      <t>セッテイ</t>
    </rPh>
    <rPh sb="42" eb="44">
      <t>シテイ</t>
    </rPh>
    <rPh sb="48" eb="50">
      <t>ゼンシャ</t>
    </rPh>
    <rPh sb="50" eb="52">
      <t>セッテイ</t>
    </rPh>
    <rPh sb="55" eb="57">
      <t>コベツ</t>
    </rPh>
    <rPh sb="57" eb="59">
      <t>セッテイ</t>
    </rPh>
    <phoneticPr fontId="5"/>
  </si>
  <si>
    <t>Webサービス探索優先度</t>
    <rPh sb="7" eb="9">
      <t>タンサク</t>
    </rPh>
    <rPh sb="9" eb="12">
      <t>ユウセンド</t>
    </rPh>
    <phoneticPr fontId="5"/>
  </si>
  <si>
    <t>ekispert_web_ic_preferred</t>
    <phoneticPr fontId="5"/>
  </si>
  <si>
    <t>preferredTicketOrder=cheap</t>
    <phoneticPr fontId="5"/>
  </si>
  <si>
    <t>preferredTicketOrder=(ic|normal|cheap)</t>
    <phoneticPr fontId="5"/>
  </si>
  <si>
    <t>EKISPERT_WEB_IC_PREFERRED</t>
    <phoneticPr fontId="5"/>
  </si>
  <si>
    <t>駅すぱあとWebService版のIC料金探索優先度（IC使用区分がICの場合のみ有効）
preferredTicketOrder=X
※Xは以下のいずれか。
ICカード乗車券を優先する：ic
普通乗車券を優先する：normal
安い乗車券を優先する：cheap</t>
    <rPh sb="0" eb="1">
      <t>エキ</t>
    </rPh>
    <rPh sb="15" eb="16">
      <t>バン</t>
    </rPh>
    <rPh sb="19" eb="21">
      <t>リョウキン</t>
    </rPh>
    <rPh sb="21" eb="23">
      <t>タンサク</t>
    </rPh>
    <rPh sb="23" eb="26">
      <t>ユウセンド</t>
    </rPh>
    <rPh sb="29" eb="31">
      <t>シヨウ</t>
    </rPh>
    <rPh sb="31" eb="33">
      <t>クブン</t>
    </rPh>
    <rPh sb="37" eb="39">
      <t>バアイ</t>
    </rPh>
    <rPh sb="41" eb="43">
      <t>ユウコウ</t>
    </rPh>
    <rPh sb="71" eb="73">
      <t>イカ</t>
    </rPh>
    <phoneticPr fontId="5"/>
  </si>
  <si>
    <t>定期区間の反映先</t>
    <rPh sb="0" eb="2">
      <t>テイキ</t>
    </rPh>
    <rPh sb="2" eb="4">
      <t>クカン</t>
    </rPh>
    <rPh sb="5" eb="7">
      <t>ハンエイ</t>
    </rPh>
    <rPh sb="7" eb="8">
      <t>サキ</t>
    </rPh>
    <phoneticPr fontId="5"/>
  </si>
  <si>
    <t>ekispert_teikikukan_haneisaki</t>
    <phoneticPr fontId="5"/>
  </si>
  <si>
    <t>EKISPERT_TEIKIKUKAN_HANEISAKI</t>
    <phoneticPr fontId="5"/>
  </si>
  <si>
    <t>定期券区間情報の反映先。
1：内容
2：備考</t>
    <rPh sb="0" eb="3">
      <t>テイキケン</t>
    </rPh>
    <rPh sb="3" eb="5">
      <t>クカン</t>
    </rPh>
    <rPh sb="5" eb="7">
      <t>ジョウホウ</t>
    </rPh>
    <rPh sb="8" eb="10">
      <t>ハンエイ</t>
    </rPh>
    <rPh sb="10" eb="11">
      <t>サキ</t>
    </rPh>
    <rPh sb="15" eb="17">
      <t>ナイヨウ</t>
    </rPh>
    <rPh sb="20" eb="22">
      <t>ビコウ</t>
    </rPh>
    <phoneticPr fontId="5"/>
  </si>
  <si>
    <t>経路表示方法</t>
    <rPh sb="0" eb="2">
      <t>ケイロ</t>
    </rPh>
    <rPh sb="2" eb="4">
      <t>ヒョウジ</t>
    </rPh>
    <rPh sb="4" eb="6">
      <t>ホウホウ</t>
    </rPh>
    <phoneticPr fontId="5"/>
  </si>
  <si>
    <t>ekispert_keiro_kanihyouji</t>
    <phoneticPr fontId="5"/>
  </si>
  <si>
    <t>EKISPERT_KEIRO_KANIHYOUJI</t>
    <phoneticPr fontId="5"/>
  </si>
  <si>
    <t>経路の検索結果を詳細表示するか簡易表示するか。
0：詳細表示（「行き先」や「ICカード乗車券」等の情報を表示する）
1：簡易表示（「行き先」や「ICカード乗車券」等の情報を非表示とする）</t>
    <rPh sb="0" eb="2">
      <t>ケイロ</t>
    </rPh>
    <rPh sb="3" eb="5">
      <t>ケンサク</t>
    </rPh>
    <rPh sb="5" eb="7">
      <t>ケッカ</t>
    </rPh>
    <rPh sb="8" eb="10">
      <t>ショウサイ</t>
    </rPh>
    <rPh sb="10" eb="12">
      <t>ヒョウジ</t>
    </rPh>
    <rPh sb="15" eb="17">
      <t>カンイ</t>
    </rPh>
    <rPh sb="17" eb="19">
      <t>ヒョウジ</t>
    </rPh>
    <rPh sb="26" eb="28">
      <t>ショウサイ</t>
    </rPh>
    <rPh sb="28" eb="30">
      <t>ヒョウジ</t>
    </rPh>
    <rPh sb="32" eb="35">
      <t>ユキサキ</t>
    </rPh>
    <rPh sb="43" eb="46">
      <t>ジョウシャケン</t>
    </rPh>
    <rPh sb="47" eb="48">
      <t>ナド</t>
    </rPh>
    <rPh sb="49" eb="51">
      <t>ジョウホウ</t>
    </rPh>
    <rPh sb="52" eb="54">
      <t>ヒョウジ</t>
    </rPh>
    <rPh sb="60" eb="62">
      <t>カンイ</t>
    </rPh>
    <rPh sb="62" eb="64">
      <t>ヒョウジ</t>
    </rPh>
    <rPh sb="66" eb="69">
      <t>ユキサキ</t>
    </rPh>
    <rPh sb="77" eb="80">
      <t>ジョウシャケン</t>
    </rPh>
    <rPh sb="81" eb="82">
      <t>ナド</t>
    </rPh>
    <rPh sb="83" eb="85">
      <t>ジョウホウ</t>
    </rPh>
    <rPh sb="86" eb="89">
      <t>ヒヒョウジ</t>
    </rPh>
    <phoneticPr fontId="5"/>
  </si>
  <si>
    <t>距離情報の反映先</t>
    <rPh sb="0" eb="2">
      <t>キョリ</t>
    </rPh>
    <rPh sb="2" eb="4">
      <t>ジョウホウ</t>
    </rPh>
    <rPh sb="5" eb="7">
      <t>ハンエイ</t>
    </rPh>
    <rPh sb="7" eb="8">
      <t>サキ</t>
    </rPh>
    <phoneticPr fontId="5"/>
  </si>
  <si>
    <t>ekispert_kyori_hanei</t>
    <phoneticPr fontId="5"/>
  </si>
  <si>
    <t>(0|1|2)</t>
    <phoneticPr fontId="5"/>
  </si>
  <si>
    <t>EKISPERT_KYORI_HANEI</t>
    <phoneticPr fontId="5"/>
  </si>
  <si>
    <t>経路の距離情報反映先。
0：反映しない
1：内容
2：備考</t>
    <rPh sb="0" eb="2">
      <t>ケイロ</t>
    </rPh>
    <rPh sb="3" eb="5">
      <t>キョリ</t>
    </rPh>
    <rPh sb="5" eb="7">
      <t>ジョウホウ</t>
    </rPh>
    <rPh sb="7" eb="9">
      <t>ハンエイ</t>
    </rPh>
    <rPh sb="9" eb="10">
      <t>サキ</t>
    </rPh>
    <rPh sb="14" eb="16">
      <t>ハンエイ</t>
    </rPh>
    <rPh sb="22" eb="24">
      <t>ナイヨウ</t>
    </rPh>
    <rPh sb="27" eb="29">
      <t>ビコウ</t>
    </rPh>
    <phoneticPr fontId="5"/>
  </si>
  <si>
    <t>●</t>
  </si>
  <si>
    <t>割引情報の反映先(EX予約/スマートEX/新幹線eチケット)</t>
  </si>
  <si>
    <t>ekispert_waribiki_hanei</t>
  </si>
  <si>
    <t>0</t>
  </si>
  <si>
    <t>1</t>
  </si>
  <si>
    <t>(0|1|2)</t>
  </si>
  <si>
    <t>EKISPERT_WARIBIKI_HANEI</t>
  </si>
  <si>
    <t>経路の割引情報（EX予約/スマートEX、新幹線eチケット）の反映先。
0：反映しない
1：内容
2：備考</t>
  </si>
  <si>
    <t>往復割引運賃適用の反映先</t>
  </si>
  <si>
    <t>ekispert_oufukuwari_hanei</t>
  </si>
  <si>
    <t>EKISPERT_OUFUKUWARI_HANEI</t>
  </si>
  <si>
    <t>往復割引運賃適用の反映先。
0：反映しない
1：内容
2：備考</t>
  </si>
  <si>
    <t>法人カード</t>
    <rPh sb="0" eb="2">
      <t>ホウジン</t>
    </rPh>
    <phoneticPr fontId="5"/>
  </si>
  <si>
    <t>法人カード利用明細の日付変更</t>
    <rPh sb="0" eb="2">
      <t>ホウジン</t>
    </rPh>
    <rPh sb="5" eb="7">
      <t>リヨウ</t>
    </rPh>
    <rPh sb="7" eb="9">
      <t>メイサイ</t>
    </rPh>
    <rPh sb="10" eb="12">
      <t>ヒヅケ</t>
    </rPh>
    <rPh sb="12" eb="14">
      <t>ヘンコウ</t>
    </rPh>
    <phoneticPr fontId="5"/>
  </si>
  <si>
    <t>houjin_card_date_enabled</t>
    <phoneticPr fontId="5"/>
  </si>
  <si>
    <t>HOUJIN_CARD_DATE_ENABLED</t>
    <phoneticPr fontId="5"/>
  </si>
  <si>
    <t>法人カード履歴から登録した交通費・宿泊費・その他経費明細の日付を変更できるかどうか。
オプション機能(法人カード)を有効にしていない場合は影響しません。
0：変更できない
1：変更できる</t>
    <rPh sb="0" eb="2">
      <t>ホウジン</t>
    </rPh>
    <rPh sb="5" eb="7">
      <t>リレキ</t>
    </rPh>
    <rPh sb="9" eb="11">
      <t>トウロク</t>
    </rPh>
    <rPh sb="13" eb="16">
      <t>コウツウヒ</t>
    </rPh>
    <rPh sb="17" eb="20">
      <t>シュクハクヒ</t>
    </rPh>
    <rPh sb="23" eb="24">
      <t>タ</t>
    </rPh>
    <rPh sb="24" eb="26">
      <t>ケイヒ</t>
    </rPh>
    <rPh sb="26" eb="28">
      <t>メイサイ</t>
    </rPh>
    <rPh sb="29" eb="31">
      <t>ヒヅケ</t>
    </rPh>
    <rPh sb="32" eb="34">
      <t>ヘンコウ</t>
    </rPh>
    <rPh sb="51" eb="53">
      <t>ホウジン</t>
    </rPh>
    <rPh sb="79" eb="81">
      <t>ヘンコウ</t>
    </rPh>
    <rPh sb="88" eb="90">
      <t>ヘンコウ</t>
    </rPh>
    <phoneticPr fontId="5"/>
  </si>
  <si>
    <t>法人カード履歴の除外</t>
    <rPh sb="0" eb="2">
      <t>ホウジン</t>
    </rPh>
    <rPh sb="5" eb="7">
      <t>リレキ</t>
    </rPh>
    <rPh sb="8" eb="10">
      <t>ジョガイ</t>
    </rPh>
    <phoneticPr fontId="5"/>
  </si>
  <si>
    <t>houjin_card_rireki_jyogai_enable</t>
    <phoneticPr fontId="5"/>
  </si>
  <si>
    <t>HOUJIN_CARD_RIREKI_JYOGAI_ENABLE</t>
    <phoneticPr fontId="5"/>
  </si>
  <si>
    <t>ワークフローにインポートした法人カード履歴データを除外できるようにするか、しないか。
0：除外できない
1：除外できる</t>
    <rPh sb="14" eb="16">
      <t>ホウジン</t>
    </rPh>
    <rPh sb="19" eb="21">
      <t>リレキ</t>
    </rPh>
    <rPh sb="25" eb="27">
      <t>ジョガイ</t>
    </rPh>
    <rPh sb="45" eb="47">
      <t>ジョガイ</t>
    </rPh>
    <rPh sb="54" eb="56">
      <t>ジョガイ</t>
    </rPh>
    <phoneticPr fontId="5"/>
  </si>
  <si>
    <t>法人カード履歴を除外するユーザー</t>
    <rPh sb="0" eb="2">
      <t>ホウジン</t>
    </rPh>
    <rPh sb="5" eb="7">
      <t>リレキ</t>
    </rPh>
    <rPh sb="8" eb="10">
      <t>ジョガイ</t>
    </rPh>
    <phoneticPr fontId="5"/>
  </si>
  <si>
    <t>houjin_card_rireki_jyogai_user</t>
    <phoneticPr fontId="5"/>
  </si>
  <si>
    <t>HOUJIN_CARD_RIREKI_JYOGAI_USER</t>
    <phoneticPr fontId="5"/>
  </si>
  <si>
    <t>法人カード履歴を除外する場合、どのユーザーが除外するのか。
1：申請者
2：経理処理</t>
    <rPh sb="0" eb="2">
      <t>ホウジン</t>
    </rPh>
    <rPh sb="5" eb="7">
      <t>リレキ</t>
    </rPh>
    <rPh sb="8" eb="10">
      <t>ジョガイ</t>
    </rPh>
    <rPh sb="12" eb="14">
      <t>バアイ</t>
    </rPh>
    <rPh sb="22" eb="24">
      <t>ジョガイ</t>
    </rPh>
    <rPh sb="32" eb="35">
      <t>シンセイシャ</t>
    </rPh>
    <rPh sb="38" eb="40">
      <t>ケイリ</t>
    </rPh>
    <rPh sb="40" eb="42">
      <t>ショリ</t>
    </rPh>
    <phoneticPr fontId="5"/>
  </si>
  <si>
    <t>ICカード</t>
    <phoneticPr fontId="5"/>
  </si>
  <si>
    <t>ICカードデフォルト交通手段</t>
    <rPh sb="10" eb="14">
      <t>コウツウシュダン</t>
    </rPh>
    <phoneticPr fontId="5"/>
  </si>
  <si>
    <t>ic_card_train</t>
    <phoneticPr fontId="5"/>
  </si>
  <si>
    <t>IC_CARD_TRAIN</t>
    <phoneticPr fontId="5"/>
  </si>
  <si>
    <t>ICカード履歴から交通費明細を登録する際に、
デフォルトで選択する交通手段。
オプション機能(ICカード)を有効にしていない場合は影響しません。
オプション機能(ICカード)を有効にしている場合でも、デフォルトの交通手段を設定しない場合は、空のままにしてください。</t>
    <rPh sb="5" eb="7">
      <t>リレキ</t>
    </rPh>
    <rPh sb="9" eb="12">
      <t>コウツウヒ</t>
    </rPh>
    <rPh sb="12" eb="14">
      <t>メイサイ</t>
    </rPh>
    <rPh sb="15" eb="17">
      <t>トウロク</t>
    </rPh>
    <rPh sb="19" eb="20">
      <t>サイ</t>
    </rPh>
    <rPh sb="29" eb="31">
      <t>センタク</t>
    </rPh>
    <rPh sb="33" eb="35">
      <t>コウツウ</t>
    </rPh>
    <rPh sb="35" eb="37">
      <t>シュダン</t>
    </rPh>
    <rPh sb="95" eb="97">
      <t>バアイ</t>
    </rPh>
    <rPh sb="106" eb="110">
      <t>コウツウシュダン</t>
    </rPh>
    <rPh sb="111" eb="113">
      <t>セッテイ</t>
    </rPh>
    <rPh sb="116" eb="118">
      <t>バアイ</t>
    </rPh>
    <rPh sb="120" eb="121">
      <t>カラ</t>
    </rPh>
    <phoneticPr fontId="5"/>
  </si>
  <si>
    <t>ICカード「バス/路面等」交通手段</t>
    <rPh sb="9" eb="12">
      <t>ロメンナド</t>
    </rPh>
    <rPh sb="13" eb="15">
      <t>コウツウ</t>
    </rPh>
    <rPh sb="15" eb="17">
      <t>シュダン</t>
    </rPh>
    <phoneticPr fontId="5"/>
  </si>
  <si>
    <t>ic_card_bus</t>
    <phoneticPr fontId="5"/>
  </si>
  <si>
    <t>IC_CARD_BUS</t>
    <phoneticPr fontId="5"/>
  </si>
  <si>
    <t>ICカード履歴から交通費明細を登録する際に、
履歴データが「バス/路面等」の場合に選択する交通手段。
オプション機能(ICカード)を有効にしていない場合は影響しません。
オプション機能(ICカード)を有効にしている場合でも、「バス/路面等」の交通手段を設定しない場合は、空のままにしてください。</t>
    <phoneticPr fontId="5"/>
  </si>
  <si>
    <t>ICカード明細の日付変更</t>
    <rPh sb="10" eb="12">
      <t>ヘンコウ</t>
    </rPh>
    <phoneticPr fontId="5"/>
  </si>
  <si>
    <t>ic_card_date_enabled</t>
    <phoneticPr fontId="5"/>
  </si>
  <si>
    <t>IC_CARD_DATE_ENABLED</t>
    <phoneticPr fontId="5"/>
  </si>
  <si>
    <t>ICカード履歴から登録した交通費明細の日付を変更できるかどうか。
オプション機能(ICカード)を有効にしていない場合は影響しません。
0：変更できない
1：変更できる</t>
    <rPh sb="5" eb="7">
      <t>リレキ</t>
    </rPh>
    <rPh sb="9" eb="11">
      <t>トウロク</t>
    </rPh>
    <rPh sb="13" eb="16">
      <t>コウツウヒ</t>
    </rPh>
    <rPh sb="16" eb="18">
      <t>メイサイ</t>
    </rPh>
    <rPh sb="19" eb="21">
      <t>ヒヅケ</t>
    </rPh>
    <rPh sb="22" eb="24">
      <t>ヘンコウ</t>
    </rPh>
    <rPh sb="69" eb="71">
      <t>ヘンコウ</t>
    </rPh>
    <rPh sb="78" eb="80">
      <t>ヘンコウ</t>
    </rPh>
    <phoneticPr fontId="5"/>
  </si>
  <si>
    <t>FB 連携</t>
    <phoneticPr fontId="5"/>
  </si>
  <si>
    <t>FBデータ出力ファイルパス</t>
    <phoneticPr fontId="5"/>
  </si>
  <si>
    <t>output_file_path_fbdata</t>
    <phoneticPr fontId="5"/>
  </si>
  <si>
    <t>c:\eteam\fbdata</t>
    <phoneticPr fontId="5"/>
  </si>
  <si>
    <t>OUTPUT_FILE_PATH_FBDATA</t>
    <phoneticPr fontId="5"/>
  </si>
  <si>
    <t>FBデータファイルパス</t>
    <phoneticPr fontId="5"/>
  </si>
  <si>
    <t>FBデータ出力ファイル名</t>
    <rPh sb="11" eb="12">
      <t>メイ</t>
    </rPh>
    <phoneticPr fontId="5"/>
  </si>
  <si>
    <t>output_file_nm_fbdata</t>
    <phoneticPr fontId="5"/>
  </si>
  <si>
    <t>FBDATA_{0}_{1}.txt</t>
    <phoneticPr fontId="5"/>
  </si>
  <si>
    <t>OUTPUT_FILE_NM_FBDATA</t>
    <phoneticPr fontId="5"/>
  </si>
  <si>
    <t>FBデータファイルパス名
ファイル作成時、{0}を振込日（yyyymmdd）、{1}を振込元金融機関コード+支店コードで置換します。</t>
    <rPh sb="11" eb="12">
      <t>メイ</t>
    </rPh>
    <rPh sb="17" eb="20">
      <t>サクセイジ</t>
    </rPh>
    <rPh sb="25" eb="27">
      <t>フリコミ</t>
    </rPh>
    <rPh sb="27" eb="28">
      <t>ヒ</t>
    </rPh>
    <rPh sb="43" eb="45">
      <t>フリコミ</t>
    </rPh>
    <rPh sb="45" eb="46">
      <t>モト</t>
    </rPh>
    <rPh sb="46" eb="50">
      <t>キンユウキカン</t>
    </rPh>
    <rPh sb="54" eb="56">
      <t>シテン</t>
    </rPh>
    <rPh sb="60" eb="62">
      <t>チカン</t>
    </rPh>
    <phoneticPr fontId="5"/>
  </si>
  <si>
    <t>支払日リスト件数</t>
    <rPh sb="0" eb="3">
      <t>シハライビ</t>
    </rPh>
    <phoneticPr fontId="5"/>
  </si>
  <si>
    <t>list_num_for_shiharaibi</t>
    <phoneticPr fontId="5"/>
  </si>
  <si>
    <t>5</t>
    <phoneticPr fontId="5"/>
  </si>
  <si>
    <t>[1-9]\d{0,1}</t>
    <phoneticPr fontId="5"/>
  </si>
  <si>
    <t>LIST_NUM_FOR_SHIHARAIBI</t>
    <phoneticPr fontId="5"/>
  </si>
  <si>
    <t>FBデータ作成の個人精算支払日リストに表示する項目件数（1～99）。</t>
    <rPh sb="5" eb="7">
      <t>サクセイ</t>
    </rPh>
    <rPh sb="8" eb="10">
      <t>コジン</t>
    </rPh>
    <rPh sb="10" eb="12">
      <t>セイサン</t>
    </rPh>
    <rPh sb="12" eb="15">
      <t>シハライビ</t>
    </rPh>
    <rPh sb="19" eb="21">
      <t>ヒョウジ</t>
    </rPh>
    <rPh sb="23" eb="25">
      <t>コウモク</t>
    </rPh>
    <rPh sb="25" eb="27">
      <t>ケンスウ</t>
    </rPh>
    <phoneticPr fontId="5"/>
  </si>
  <si>
    <t>顧客コード1への社員コード反映</t>
  </si>
  <si>
    <t>shain_cd2kokyaku_cd1</t>
  </si>
  <si>
    <t>SHAIN_CD2KOKYAKU_CD1</t>
  </si>
  <si>
    <t>社員コードをFBデータファイルの顧客コード１に反映するかどうか。
0：しない
1：する</t>
  </si>
  <si>
    <t>全銀総合振込依頼データ形式</t>
    <phoneticPr fontId="5"/>
  </si>
  <si>
    <t>zengin_furikomi_keishiki</t>
    <phoneticPr fontId="5"/>
  </si>
  <si>
    <t>ZENGIN_FURIKOMI_KEISHIKI</t>
    <phoneticPr fontId="5"/>
  </si>
  <si>
    <t>出力する全銀総合振込依頼データ形式を指定。
0：固定長
1：XML形式</t>
    <rPh sb="0" eb="2">
      <t>シュツリョク</t>
    </rPh>
    <rPh sb="4" eb="5">
      <t>ゼン</t>
    </rPh>
    <rPh sb="5" eb="6">
      <t>ギン</t>
    </rPh>
    <rPh sb="6" eb="8">
      <t>ソウゴウ</t>
    </rPh>
    <rPh sb="8" eb="10">
      <t>フリコ</t>
    </rPh>
    <rPh sb="10" eb="12">
      <t>イライ</t>
    </rPh>
    <rPh sb="15" eb="17">
      <t>ケイシキ</t>
    </rPh>
    <rPh sb="18" eb="20">
      <t>シテイ</t>
    </rPh>
    <rPh sb="24" eb="27">
      <t>コテイチョウ</t>
    </rPh>
    <rPh sb="33" eb="35">
      <t>ケイシキ</t>
    </rPh>
    <phoneticPr fontId="5"/>
  </si>
  <si>
    <t>XMLメッセージ単位の識別番号</t>
    <phoneticPr fontId="5"/>
  </si>
  <si>
    <t>xml_message_shikibetsu_no</t>
    <phoneticPr fontId="5"/>
  </si>
  <si>
    <t>{0} {1} {2}</t>
    <phoneticPr fontId="5"/>
  </si>
  <si>
    <t>XML_MESSAGE_SHIKIBETSU_NO</t>
    <phoneticPr fontId="5"/>
  </si>
  <si>
    <t>XMLメッセージ単位の識別番号を指定します。
ファイル作成時、{0}を振込日（yyyymmdd）、{1}を振込元金融機関コード+支店コード、{2}を振込元口座番号で置換します。</t>
    <phoneticPr fontId="5"/>
  </si>
  <si>
    <t>OPEN21 連携</t>
    <phoneticPr fontId="5"/>
  </si>
  <si>
    <t>会社コード</t>
    <phoneticPr fontId="5"/>
  </si>
  <si>
    <t>op21mparam_kaisha_cd</t>
  </si>
  <si>
    <t>0001</t>
    <phoneticPr fontId="5"/>
  </si>
  <si>
    <t>(?!0000)\d{4}</t>
    <phoneticPr fontId="5"/>
  </si>
  <si>
    <t>OP21MPARAM_KAISHA_CD</t>
  </si>
  <si>
    <t>取り込み会社番号
0001～9999</t>
    <phoneticPr fontId="5"/>
  </si>
  <si>
    <t>諸口コード</t>
    <rPh sb="0" eb="1">
      <t>ショ</t>
    </rPh>
    <rPh sb="1" eb="2">
      <t>クチ</t>
    </rPh>
    <phoneticPr fontId="5"/>
  </si>
  <si>
    <t>shokuchi_cd</t>
    <phoneticPr fontId="5"/>
  </si>
  <si>
    <t>SHOKUCHI_CD</t>
    <phoneticPr fontId="5"/>
  </si>
  <si>
    <t>振替伝票・総合付替伝票の仕訳で借方貸方課税区分グループが共に「税込」の場合や
経費立替精算・出張旅費精算の伝票形式が複合形式の際に使用する所謂「諸口」を表す勘定科目コード。
（6桁以内の半角数字）
OPEN21に同様の勘定科目コードが登録されていなければならない。</t>
    <rPh sb="0" eb="2">
      <t>フリカエ</t>
    </rPh>
    <rPh sb="2" eb="4">
      <t>デンピョウ</t>
    </rPh>
    <rPh sb="5" eb="7">
      <t>ソウゴウ</t>
    </rPh>
    <rPh sb="7" eb="9">
      <t>ツケカ</t>
    </rPh>
    <rPh sb="9" eb="11">
      <t>デンピョウ</t>
    </rPh>
    <rPh sb="12" eb="14">
      <t>シワケ</t>
    </rPh>
    <rPh sb="15" eb="17">
      <t>カリカタ</t>
    </rPh>
    <rPh sb="17" eb="19">
      <t>カシカタ</t>
    </rPh>
    <rPh sb="19" eb="21">
      <t>カゼイ</t>
    </rPh>
    <rPh sb="21" eb="23">
      <t>クブン</t>
    </rPh>
    <rPh sb="28" eb="29">
      <t>トモ</t>
    </rPh>
    <rPh sb="31" eb="33">
      <t>ゼイコミ</t>
    </rPh>
    <rPh sb="35" eb="37">
      <t>バアイ</t>
    </rPh>
    <rPh sb="39" eb="41">
      <t>ケイヒ</t>
    </rPh>
    <rPh sb="41" eb="43">
      <t>タテカエ</t>
    </rPh>
    <rPh sb="43" eb="45">
      <t>セイサン</t>
    </rPh>
    <rPh sb="46" eb="48">
      <t>シュッチョウ</t>
    </rPh>
    <rPh sb="48" eb="50">
      <t>リョヒ</t>
    </rPh>
    <rPh sb="50" eb="52">
      <t>セイサン</t>
    </rPh>
    <rPh sb="53" eb="55">
      <t>デンピョウ</t>
    </rPh>
    <rPh sb="55" eb="57">
      <t>ケイシキ</t>
    </rPh>
    <rPh sb="58" eb="60">
      <t>フクゴウ</t>
    </rPh>
    <rPh sb="60" eb="62">
      <t>ケイシキ</t>
    </rPh>
    <rPh sb="63" eb="64">
      <t>サイ</t>
    </rPh>
    <rPh sb="65" eb="67">
      <t>シヨウ</t>
    </rPh>
    <rPh sb="69" eb="71">
      <t>イワユル</t>
    </rPh>
    <rPh sb="72" eb="74">
      <t>ショクチ</t>
    </rPh>
    <rPh sb="76" eb="77">
      <t>アラワ</t>
    </rPh>
    <rPh sb="78" eb="80">
      <t>カンジョウ</t>
    </rPh>
    <rPh sb="80" eb="82">
      <t>カモク</t>
    </rPh>
    <rPh sb="89" eb="90">
      <t>ケタ</t>
    </rPh>
    <rPh sb="90" eb="92">
      <t>イナイ</t>
    </rPh>
    <rPh sb="93" eb="95">
      <t>ハンカク</t>
    </rPh>
    <rPh sb="95" eb="97">
      <t>スウジ</t>
    </rPh>
    <rPh sb="106" eb="108">
      <t>ドウヨウ</t>
    </rPh>
    <rPh sb="109" eb="111">
      <t>カンジョウ</t>
    </rPh>
    <rPh sb="111" eb="113">
      <t>カモク</t>
    </rPh>
    <rPh sb="117" eb="119">
      <t>トウロク</t>
    </rPh>
    <phoneticPr fontId="5"/>
  </si>
  <si>
    <t>処理区分</t>
  </si>
  <si>
    <t>op21mparam_shori_kbn</t>
    <phoneticPr fontId="5"/>
  </si>
  <si>
    <t>OP21MPARAM_SHORI_KBN</t>
  </si>
  <si>
    <t>0：データチェック＆ 取り込み
1：データチェックのみ</t>
  </si>
  <si>
    <t>伝票形式</t>
  </si>
  <si>
    <t>op21mparam_denpyou_keishiki</t>
  </si>
  <si>
    <t>OP21MPARAM_DENPYOU_KEISHIKI</t>
  </si>
  <si>
    <t>0：単一形式
1：複合（手入力諸口）
2：複合（自動諸口）</t>
  </si>
  <si>
    <t>伝票形式(経費立替精算)</t>
    <phoneticPr fontId="5"/>
  </si>
  <si>
    <t>op21mparam_denpyou_keishiki_A001</t>
    <phoneticPr fontId="5"/>
  </si>
  <si>
    <t>OP21MPARAM_DENPYOU_KEISHIKI_A001</t>
    <phoneticPr fontId="5"/>
  </si>
  <si>
    <t>仕訳をどの形式で作成するかを指定します。
0：単一形式
1：複合（手入力諸口）
2：複合（自動諸口）</t>
    <rPh sb="0" eb="2">
      <t>シワケ</t>
    </rPh>
    <rPh sb="5" eb="7">
      <t>ケイシキ</t>
    </rPh>
    <rPh sb="8" eb="10">
      <t>サクセイ</t>
    </rPh>
    <rPh sb="14" eb="16">
      <t>シテイ</t>
    </rPh>
    <phoneticPr fontId="5"/>
  </si>
  <si>
    <t>伝票形式(経費伺い申請（仮払申請）)</t>
    <phoneticPr fontId="5"/>
  </si>
  <si>
    <t>op21mparam_denpyou_keishiki_A002</t>
    <phoneticPr fontId="5"/>
  </si>
  <si>
    <t>OP21MPARAM_DENPYOU_KEISHIKI_A002</t>
    <phoneticPr fontId="5"/>
  </si>
  <si>
    <t>伝票形式(請求書払い申請)</t>
    <phoneticPr fontId="5"/>
  </si>
  <si>
    <t>op21mparam_denpyou_keishiki_A003</t>
    <phoneticPr fontId="5"/>
  </si>
  <si>
    <t>OP21MPARAM_DENPYOU_KEISHIKI_A003</t>
    <phoneticPr fontId="5"/>
  </si>
  <si>
    <t>伝票形式(支払依頼申請)</t>
  </si>
  <si>
    <t>op21mparam_denpyou_keishiki_A013</t>
    <phoneticPr fontId="5"/>
  </si>
  <si>
    <t>OP21MPARAM_DENPYOU_KEISHIKI_A013</t>
    <phoneticPr fontId="5"/>
  </si>
  <si>
    <t>伝票形式(自動引落伝票)</t>
    <rPh sb="5" eb="9">
      <t>ジドウヒキオトシ</t>
    </rPh>
    <rPh sb="9" eb="11">
      <t>デンピョウ</t>
    </rPh>
    <phoneticPr fontId="5"/>
  </si>
  <si>
    <t>op21mparam_denpyou_keishiki_A009</t>
    <phoneticPr fontId="5"/>
  </si>
  <si>
    <t>OP21MPARAM_DENPYOU_KEISHIKI_A009</t>
    <phoneticPr fontId="5"/>
  </si>
  <si>
    <t>伝票形式(出張旅費精算)</t>
    <phoneticPr fontId="5"/>
  </si>
  <si>
    <t>op21mparam_denpyou_keishiki_A004</t>
    <phoneticPr fontId="5"/>
  </si>
  <si>
    <t>OP21MPARAM_DENPYOU_KEISHIKI_A004</t>
    <phoneticPr fontId="5"/>
  </si>
  <si>
    <t>伝票形式(出張伺い申請（仮払申請）)</t>
    <phoneticPr fontId="5"/>
  </si>
  <si>
    <t>op21mparam_denpyou_keishiki_A005</t>
    <phoneticPr fontId="5"/>
  </si>
  <si>
    <t>OP21MPARAM_DENPYOU_KEISHIKI_A005</t>
    <phoneticPr fontId="5"/>
  </si>
  <si>
    <t>伝票形式(海外出張旅費精算)</t>
    <phoneticPr fontId="39"/>
  </si>
  <si>
    <t>op21mparam_denpyou_keishiki_A011</t>
    <phoneticPr fontId="39"/>
  </si>
  <si>
    <t>OP21MPARAM_DENPYOU_KEISHIKI_A011</t>
    <phoneticPr fontId="5"/>
  </si>
  <si>
    <t>伝票形式(海外出張伺い申請（仮払申請）)</t>
    <phoneticPr fontId="5"/>
  </si>
  <si>
    <t>op21mparam_denpyou_keishiki_A012</t>
    <phoneticPr fontId="5"/>
  </si>
  <si>
    <t>OP21MPARAM_DENPYOU_KEISHIKI_A012</t>
    <phoneticPr fontId="5"/>
  </si>
  <si>
    <t>伝票形式(交通費精算)</t>
    <phoneticPr fontId="5"/>
  </si>
  <si>
    <t>op21mparam_denpyou_keishiki_A010</t>
    <phoneticPr fontId="5"/>
  </si>
  <si>
    <t>OP21MPARAM_DENPYOU_KEISHIKI_A010</t>
    <phoneticPr fontId="5"/>
  </si>
  <si>
    <t>伝票形式(通勤定期申請)</t>
    <phoneticPr fontId="5"/>
  </si>
  <si>
    <t>op21mparam_denpyou_keishiki_A006</t>
    <phoneticPr fontId="5"/>
  </si>
  <si>
    <t>OP21MPARAM_DENPYOU_KEISHIKI_A006</t>
    <phoneticPr fontId="5"/>
  </si>
  <si>
    <t>不良データログ</t>
    <phoneticPr fontId="5"/>
  </si>
  <si>
    <t>op21mparam_furyou_data_log</t>
  </si>
  <si>
    <t>11</t>
    <phoneticPr fontId="5"/>
  </si>
  <si>
    <t>(0|1|11)</t>
    <phoneticPr fontId="5"/>
  </si>
  <si>
    <t>OP21MPARAM_FURYOU_DATA_LOG</t>
  </si>
  <si>
    <t>0：ログ不要（不良伝票が発生しても正常伝票は取込む）
1：ログ要（不良伝票が発生しても正常伝票は取込む）
11：ログ要（不良伝票発生時は全件取り込まない）</t>
  </si>
  <si>
    <t>CSV用ﾊﾟｽ</t>
  </si>
  <si>
    <t>op21mparam_csv_path</t>
  </si>
  <si>
    <t>C:\eteam\tmp</t>
    <phoneticPr fontId="5"/>
  </si>
  <si>
    <t>OP21MPARAM_CSV_PATH</t>
  </si>
  <si>
    <t>一時作業用ファイルパス</t>
    <phoneticPr fontId="5"/>
  </si>
  <si>
    <t>CSVファイル名</t>
    <phoneticPr fontId="5"/>
  </si>
  <si>
    <t>op21mparam_csv_file_nm</t>
  </si>
  <si>
    <t>ShiwakeDataTemp.csv</t>
    <phoneticPr fontId="5"/>
  </si>
  <si>
    <t>OP21MPARAM_CSV_FILE_NM</t>
  </si>
  <si>
    <t>一時作業用ファイル名
拡張子*.CSV 固定</t>
    <rPh sb="9" eb="10">
      <t>メイ</t>
    </rPh>
    <phoneticPr fontId="5"/>
  </si>
  <si>
    <t>ログ用パス</t>
    <phoneticPr fontId="5"/>
  </si>
  <si>
    <t>op21mparam_log_path</t>
  </si>
  <si>
    <t>C:\eteam\bat\logs</t>
    <phoneticPr fontId="5"/>
  </si>
  <si>
    <t>OP21MPARAM_LOG_PATH</t>
  </si>
  <si>
    <t>ログファイルパス</t>
    <phoneticPr fontId="5"/>
  </si>
  <si>
    <t>ログファイル名</t>
    <phoneticPr fontId="5"/>
  </si>
  <si>
    <t>op21mparam_log_file_nm</t>
  </si>
  <si>
    <t>ShiwakeDataImport.log</t>
    <phoneticPr fontId="5"/>
  </si>
  <si>
    <t>OP21MPARAM_LOG_FILE_NM</t>
  </si>
  <si>
    <t>ログファイル名
拡張子*.LOG 固定</t>
    <rPh sb="6" eb="7">
      <t>メイ</t>
    </rPh>
    <phoneticPr fontId="5"/>
  </si>
  <si>
    <t>レイアウトNo</t>
    <phoneticPr fontId="5"/>
  </si>
  <si>
    <t>op21mparam_layout_no</t>
  </si>
  <si>
    <t>OP21MPARAM_LAYOUT_NO</t>
  </si>
  <si>
    <t>op21mparam_layout_no
現在0固定</t>
    <phoneticPr fontId="5"/>
  </si>
  <si>
    <t>op21mparam_layout_no
SIAS版は1固定</t>
    <phoneticPr fontId="5"/>
  </si>
  <si>
    <t>伝票入力パターン</t>
    <phoneticPr fontId="5"/>
  </si>
  <si>
    <t>op21mparam_denpyou_nyuuryoku_pattern</t>
  </si>
  <si>
    <t>\d{0,2}</t>
    <phoneticPr fontId="5"/>
  </si>
  <si>
    <t>OP21MPARAM_DENPYOU_NYUURYOKU_PATTERN</t>
  </si>
  <si>
    <t>登録済み伝票入力パターン（0～99）
省略可能（0 を指定）</t>
    <phoneticPr fontId="5"/>
  </si>
  <si>
    <t>伝票入力パターン(経費立替精算)</t>
    <phoneticPr fontId="5"/>
  </si>
  <si>
    <t>op21mparam_denpyou_nyuuryoku_pattern_A001</t>
    <phoneticPr fontId="5"/>
  </si>
  <si>
    <t>OP21MPARAM_DENPYOU_NYUURYOKU_PATTERN_A001</t>
    <phoneticPr fontId="5"/>
  </si>
  <si>
    <t>OPEN21での登録済み伝票入力パターンを指定します。（0～99）
未登録の場合は0を指定します。</t>
    <rPh sb="21" eb="23">
      <t>シテイ</t>
    </rPh>
    <rPh sb="34" eb="37">
      <t>ミトウロク</t>
    </rPh>
    <rPh sb="38" eb="40">
      <t>バアイ</t>
    </rPh>
    <rPh sb="43" eb="45">
      <t>シテイ</t>
    </rPh>
    <phoneticPr fontId="5"/>
  </si>
  <si>
    <t>伝票入力パターン(経費伺い申請（仮払申請）)</t>
    <phoneticPr fontId="5"/>
  </si>
  <si>
    <t>op21mparam_denpyou_nyuuryoku_pattern_A002</t>
    <phoneticPr fontId="5"/>
  </si>
  <si>
    <t>OP21MPARAM_DENPYOU_NYUURYOKU_PATTERN_A002</t>
    <phoneticPr fontId="5"/>
  </si>
  <si>
    <t>伝票入力パターン(請求書払い申請)</t>
    <phoneticPr fontId="5"/>
  </si>
  <si>
    <t>op21mparam_denpyou_nyuuryoku_pattern_A003</t>
    <phoneticPr fontId="5"/>
  </si>
  <si>
    <t>OP21MPARAM_DENPYOU_NYUURYOKU_PATTERN_A003</t>
    <phoneticPr fontId="5"/>
  </si>
  <si>
    <t>伝票入力パターン(支払依頼申請)</t>
  </si>
  <si>
    <t>op21mparam_denpyou_nyuuryoku_pattern_A013</t>
    <phoneticPr fontId="5"/>
  </si>
  <si>
    <t>OP21MPARAM_DENPYOU_NYUURYOKU_PATTERN_A013</t>
    <phoneticPr fontId="5"/>
  </si>
  <si>
    <t>伝票入力パターン(自動引落伝票)</t>
    <phoneticPr fontId="5"/>
  </si>
  <si>
    <t>op21mparam_denpyou_nyuuryoku_pattern_A009</t>
    <phoneticPr fontId="5"/>
  </si>
  <si>
    <t>OP21MPARAM_DENPYOU_NYUURYOKU_PATTERN_A009</t>
    <phoneticPr fontId="5"/>
  </si>
  <si>
    <t>伝票入力パターン(出張旅費精算)</t>
    <rPh sb="9" eb="11">
      <t>シュッチョウ</t>
    </rPh>
    <rPh sb="11" eb="13">
      <t>リョヒ</t>
    </rPh>
    <rPh sb="13" eb="15">
      <t>セイサン</t>
    </rPh>
    <phoneticPr fontId="5"/>
  </si>
  <si>
    <t>op21mparam_denpyou_nyuuryoku_pattern_A004</t>
    <phoneticPr fontId="5"/>
  </si>
  <si>
    <t>OP21MPARAM_DENPYOU_NYUURYOKU_PATTERN_A004</t>
    <phoneticPr fontId="5"/>
  </si>
  <si>
    <t>伝票入力パターン(出張伺い申請（仮払申請）)</t>
    <phoneticPr fontId="5"/>
  </si>
  <si>
    <t>op21mparam_denpyou_nyuuryoku_pattern_A005</t>
    <phoneticPr fontId="5"/>
  </si>
  <si>
    <t>OP21MPARAM_DENPYOU_NYUURYOKU_PATTERN_A005</t>
    <phoneticPr fontId="5"/>
  </si>
  <si>
    <t>伝票入力パターン(海外出張旅費精算)</t>
    <rPh sb="9" eb="11">
      <t>カイガイ</t>
    </rPh>
    <rPh sb="11" eb="13">
      <t>シュッチョウ</t>
    </rPh>
    <rPh sb="13" eb="15">
      <t>リョヒ</t>
    </rPh>
    <rPh sb="15" eb="17">
      <t>セイサン</t>
    </rPh>
    <phoneticPr fontId="5"/>
  </si>
  <si>
    <t>op21mparam_denpyou_nyuuryoku_pattern_A011</t>
    <phoneticPr fontId="5"/>
  </si>
  <si>
    <t>OP21MPARAM_DENPYOU_NYUURYOKU_PATTERN_A011</t>
    <phoneticPr fontId="5"/>
  </si>
  <si>
    <t>伝票入力パターン(海外出張伺い申請（仮払申請）)</t>
    <phoneticPr fontId="5"/>
  </si>
  <si>
    <t>op21mparam_denpyou_nyuuryoku_pattern_A012</t>
    <phoneticPr fontId="5"/>
  </si>
  <si>
    <t>OP21MPARAM_DENPYOU_NYUURYOKU_PATTERN_A012</t>
    <phoneticPr fontId="5"/>
  </si>
  <si>
    <t>伝票入力パターン(交通費精算)</t>
    <phoneticPr fontId="5"/>
  </si>
  <si>
    <t>op21mparam_denpyou_nyuuryoku_pattern_A010</t>
    <phoneticPr fontId="5"/>
  </si>
  <si>
    <t>OP21MPARAM_DENPYOU_NYUURYOKU_PATTERN_A010</t>
    <phoneticPr fontId="5"/>
  </si>
  <si>
    <t>伝票入力パターン(通勤定期申請)</t>
    <phoneticPr fontId="5"/>
  </si>
  <si>
    <t>op21mparam_denpyou_nyuuryoku_pattern_A006</t>
    <phoneticPr fontId="5"/>
  </si>
  <si>
    <t>OP21MPARAM_DENPYOU_NYUURYOKU_PATTERN_A006</t>
    <phoneticPr fontId="5"/>
  </si>
  <si>
    <t>邦貨換算フラグ</t>
    <phoneticPr fontId="5"/>
  </si>
  <si>
    <t>op21mparam_houka_kanzan_flg</t>
  </si>
  <si>
    <t>OP21MPARAM_HOUKA_KANZAN_FLG</t>
  </si>
  <si>
    <t>0：外貨金額から邦貨金額の換算を行わない
1：外貨金額から邦貨金額の換算を行う
省略可能（0 を指定）</t>
  </si>
  <si>
    <t>起動ユーザー</t>
    <phoneticPr fontId="5"/>
  </si>
  <si>
    <t>op21mparam_kidou_user</t>
    <phoneticPr fontId="5"/>
  </si>
  <si>
    <t>^(?!0000)\d{4,4}</t>
    <phoneticPr fontId="5"/>
  </si>
  <si>
    <t>OP21MPARAM_KIDOU_USER</t>
  </si>
  <si>
    <t>0001～9999 のOPEN21ユーザーを指定します。
削除及び未登録ユーザー、使用できないユーザーを除きます。</t>
    <phoneticPr fontId="5"/>
  </si>
  <si>
    <t>仕訳区分</t>
    <phoneticPr fontId="5"/>
  </si>
  <si>
    <t>shiwake_kbn</t>
    <phoneticPr fontId="5"/>
  </si>
  <si>
    <t>SHIWAKE_KBN</t>
    <phoneticPr fontId="5"/>
  </si>
  <si>
    <t>仕訳の転記先をどちらにするか。
1：日次用
2：拡張入出力用</t>
  </si>
  <si>
    <t>仕訳の転記先をどちらにするか。
1：日次用
2：部署入出力用</t>
  </si>
  <si>
    <t>確定有無</t>
    <rPh sb="0" eb="2">
      <t>カクテイ</t>
    </rPh>
    <rPh sb="2" eb="4">
      <t>ウム</t>
    </rPh>
    <phoneticPr fontId="5"/>
  </si>
  <si>
    <t>kakutei_umu</t>
    <phoneticPr fontId="5"/>
  </si>
  <si>
    <t>KAKUTEI_UMU</t>
    <phoneticPr fontId="5"/>
  </si>
  <si>
    <t>転記先が拡張入出力の場合、確定済データとするかどうか。
1：確定済にする
2：未確定データにする</t>
    <rPh sb="4" eb="6">
      <t>カクチョウ</t>
    </rPh>
    <phoneticPr fontId="5"/>
  </si>
  <si>
    <t>確定有無</t>
    <phoneticPr fontId="5"/>
  </si>
  <si>
    <t>転記先が部署入出力の場合、確定済データとするかどうか。
1：確定済にする
2：未確定データにする</t>
  </si>
  <si>
    <t>uf1_denpyou_id_hanei</t>
    <phoneticPr fontId="5"/>
  </si>
  <si>
    <t>(0|(UF)([1-3]))</t>
    <phoneticPr fontId="5"/>
  </si>
  <si>
    <t>UF1_DENPYOU_ID_HANEI</t>
    <phoneticPr fontId="5"/>
  </si>
  <si>
    <t>ユニバーサルフィールドに伝票IDを反映するかどうか。
マッピングするフィールドの使用フラグが1(マスター参照しない)でなければいけません。
0：反映しない
UF1～UF3：ユニバーサルフィールド１～３に反映する</t>
    <phoneticPr fontId="5"/>
  </si>
  <si>
    <t>(0|(UF([1-9]|[1]\d|20))|(HF([1-9]|10)))</t>
    <phoneticPr fontId="5"/>
  </si>
  <si>
    <t>ヘッダーフィールド・ユニバーサルフィールドに伝票IDを反映するかどうか。
マッピングするフィールドの使用フラグが1(マスター参照しない)でなければいけません。
0：反映しない
HF1～HF10：ヘッダーフィールド１～１０に反映する
UF1～UF20：ユニバーサルフィールド１～２０に反映する</t>
  </si>
  <si>
    <t>掛けなし　支払結果仕訳作成有無</t>
    <rPh sb="0" eb="1">
      <t>カ</t>
    </rPh>
    <rPh sb="5" eb="7">
      <t>シハライ</t>
    </rPh>
    <rPh sb="7" eb="9">
      <t>ケッカ</t>
    </rPh>
    <rPh sb="9" eb="11">
      <t>シワケ</t>
    </rPh>
    <rPh sb="11" eb="13">
      <t>サクセイ</t>
    </rPh>
    <rPh sb="13" eb="15">
      <t>ウム</t>
    </rPh>
    <phoneticPr fontId="5"/>
  </si>
  <si>
    <t>kake_nashi_shiharai_shiwake_sakusei</t>
    <phoneticPr fontId="5"/>
  </si>
  <si>
    <t>KAKE_NASHI_SHIHARAI_SHIWAKE_SAKUSEI</t>
    <phoneticPr fontId="5"/>
  </si>
  <si>
    <t>掛けなしの請求書払い申請明細から、支払結果仕訳（＝計上仕訳）を作成するかどうか。
0：作成しない
1：作成する</t>
    <rPh sb="10" eb="12">
      <t>シンセイ</t>
    </rPh>
    <rPh sb="19" eb="21">
      <t>ケッカ</t>
    </rPh>
    <phoneticPr fontId="5"/>
  </si>
  <si>
    <t>掛けあり　支払結果仕訳作成有無</t>
    <rPh sb="0" eb="1">
      <t>カ</t>
    </rPh>
    <rPh sb="5" eb="7">
      <t>シハライ</t>
    </rPh>
    <rPh sb="7" eb="9">
      <t>ケッカ</t>
    </rPh>
    <rPh sb="9" eb="11">
      <t>シワケ</t>
    </rPh>
    <rPh sb="11" eb="13">
      <t>サクセイ</t>
    </rPh>
    <rPh sb="13" eb="15">
      <t>ウム</t>
    </rPh>
    <phoneticPr fontId="5"/>
  </si>
  <si>
    <t>kake_ari_shiharai_shiwake_sakusei</t>
    <phoneticPr fontId="5"/>
  </si>
  <si>
    <t>KAKE_ARI_SHIHARAI_SHIWAKE_SAKUSEI</t>
    <phoneticPr fontId="5"/>
  </si>
  <si>
    <t>掛けありの請求書払い申請明細から、支払結果仕訳を作成するかどうか。
※計上仕訳は当設定とは関係なく作成されます。
0：作成しない
1：作成する</t>
    <rPh sb="10" eb="12">
      <t>シンセイ</t>
    </rPh>
    <rPh sb="19" eb="21">
      <t>ケッカ</t>
    </rPh>
    <rPh sb="35" eb="37">
      <t>ケイジョウ</t>
    </rPh>
    <rPh sb="37" eb="39">
      <t>シワケ</t>
    </rPh>
    <rPh sb="40" eb="41">
      <t>トウ</t>
    </rPh>
    <rPh sb="41" eb="43">
      <t>セッテイ</t>
    </rPh>
    <rPh sb="45" eb="47">
      <t>カンケイ</t>
    </rPh>
    <rPh sb="49" eb="51">
      <t>サクセイ</t>
    </rPh>
    <phoneticPr fontId="5"/>
  </si>
  <si>
    <t>通勤定期　仕訳作成有無</t>
    <phoneticPr fontId="5"/>
  </si>
  <si>
    <t>tsuukinteiki_shiwake_sakusei_umu</t>
    <phoneticPr fontId="5"/>
  </si>
  <si>
    <t>TSUUKINTEIKI_SHIWAKE_SAKUSEI_UMU</t>
    <phoneticPr fontId="5"/>
  </si>
  <si>
    <t>通勤定期申請から、仕訳を作成するかどうか。
0：作成しない
1：作成する</t>
  </si>
  <si>
    <t>shain_cd_renkei</t>
    <phoneticPr fontId="5"/>
  </si>
  <si>
    <t>(0|(UF)([1-3])|T)</t>
    <phoneticPr fontId="5"/>
  </si>
  <si>
    <t>SHAIN_CD_RENKEI</t>
    <phoneticPr fontId="5"/>
  </si>
  <si>
    <t>(0|(UF([1-9]|[1]\d|20))|(HF([1-9]|10))|T)</t>
    <phoneticPr fontId="5"/>
  </si>
  <si>
    <t>houjin_card_renkei</t>
    <phoneticPr fontId="5"/>
  </si>
  <si>
    <t>HOUJIN_CARD_RENKEI</t>
    <phoneticPr fontId="5"/>
  </si>
  <si>
    <t>法人カード識別用番号を仕訳に連携するかどうか。
0：連携しない
UF1～UF3：ユニバーサルフィールド１～３に連携する</t>
    <phoneticPr fontId="5"/>
  </si>
  <si>
    <t>(0|(UF([1-9]|[1]\d|20)))</t>
    <phoneticPr fontId="5"/>
  </si>
  <si>
    <t>法人カード識別用番号を仕訳に連携するかどうか。
0：連携しない
UF1～UF20：ユニバーサルフィールド１～２０に連携する</t>
    <phoneticPr fontId="5"/>
  </si>
  <si>
    <t>ヘッダーフィールドマッピング①</t>
    <phoneticPr fontId="5"/>
  </si>
  <si>
    <t>hf1_mapping</t>
    <phoneticPr fontId="5"/>
  </si>
  <si>
    <t>([0-9]|10)</t>
    <phoneticPr fontId="5"/>
  </si>
  <si>
    <t>HF1_MAPPING</t>
    <phoneticPr fontId="5"/>
  </si>
  <si>
    <t>ワークフローのヘッダーフィールドとリンクさせる
財務側のヘッダーフィールド番号を指定します。（１つ目）
0：利用しない
1～10：財務側のヘッダーフィールド番号</t>
    <phoneticPr fontId="5"/>
  </si>
  <si>
    <t>他のHFに同じ番号が振られていた場合エラー
ユニバーサルフィールド伝票ID反映先と同じHFの場合エラー
起案番号のHF転記先と同じHFの場合エラー</t>
    <rPh sb="0" eb="1">
      <t>ホカ</t>
    </rPh>
    <rPh sb="5" eb="6">
      <t>オナ</t>
    </rPh>
    <rPh sb="7" eb="9">
      <t>バンゴウ</t>
    </rPh>
    <rPh sb="10" eb="11">
      <t>フ</t>
    </rPh>
    <rPh sb="16" eb="18">
      <t>バアイ</t>
    </rPh>
    <rPh sb="41" eb="42">
      <t>オナ</t>
    </rPh>
    <rPh sb="46" eb="48">
      <t>バアイ</t>
    </rPh>
    <rPh sb="63" eb="64">
      <t>オナ</t>
    </rPh>
    <rPh sb="68" eb="70">
      <t>バアイ</t>
    </rPh>
    <phoneticPr fontId="5"/>
  </si>
  <si>
    <t>ヘッダーフィールドマッピング②</t>
    <phoneticPr fontId="5"/>
  </si>
  <si>
    <t>hf2_mapping</t>
    <phoneticPr fontId="5"/>
  </si>
  <si>
    <t>HF2_MAPPING</t>
    <phoneticPr fontId="5"/>
  </si>
  <si>
    <t>ワークフローのヘッダーフィールドとリンクさせる
財務側のヘッダーフィールド番号を指定します。（２つ目）
0：利用しない
1～10：財務側のヘッダーフィールド番号</t>
  </si>
  <si>
    <t>同上</t>
    <rPh sb="0" eb="2">
      <t>ドウジョウ</t>
    </rPh>
    <phoneticPr fontId="5"/>
  </si>
  <si>
    <t>ヘッダーフィールドマッピング③</t>
    <phoneticPr fontId="5"/>
  </si>
  <si>
    <t>hf3_mapping</t>
    <phoneticPr fontId="5"/>
  </si>
  <si>
    <t>HF3_MAPPING</t>
    <phoneticPr fontId="5"/>
  </si>
  <si>
    <t>ワークフローのヘッダーフィールドとリンクさせる
財務側のヘッダーフィールド番号を指定します。（３つ目）
0：利用しない
1～10：財務側のヘッダーフィールド番号</t>
  </si>
  <si>
    <t>ヘッダーフィールドマッピング④</t>
    <phoneticPr fontId="5"/>
  </si>
  <si>
    <t>hf4_mapping</t>
    <phoneticPr fontId="5"/>
  </si>
  <si>
    <t>HF4_MAPPING</t>
    <phoneticPr fontId="5"/>
  </si>
  <si>
    <t>ワークフローのヘッダーフィールドとリンクさせる
財務側のヘッダーフィールド番号を指定します。（４つ目）
0：利用しない
1～10：財務側のヘッダーフィールド番号</t>
    <phoneticPr fontId="5"/>
  </si>
  <si>
    <t>ヘッダーフィールドマッピング⑤</t>
    <phoneticPr fontId="5"/>
  </si>
  <si>
    <t>hf5_mapping</t>
    <phoneticPr fontId="5"/>
  </si>
  <si>
    <t>HF5_MAPPING</t>
    <phoneticPr fontId="5"/>
  </si>
  <si>
    <t>ワークフローのヘッダーフィールドとリンクさせる
財務側のヘッダーフィールド番号を指定します。（５つ目）
0：利用しない
1～10：財務側のヘッダーフィールド番号</t>
    <phoneticPr fontId="5"/>
  </si>
  <si>
    <t>ヘッダーフィールドマッピング⑥</t>
    <phoneticPr fontId="5"/>
  </si>
  <si>
    <t>hf6_mapping</t>
    <phoneticPr fontId="5"/>
  </si>
  <si>
    <t>HF6_MAPPING</t>
    <phoneticPr fontId="5"/>
  </si>
  <si>
    <t>ワークフローのヘッダーフィールドとリンクさせる
財務側のヘッダーフィールド番号を指定します。（６つ目）
0：利用しない
1～10：財務側のヘッダーフィールド番号</t>
    <phoneticPr fontId="5"/>
  </si>
  <si>
    <t>ヘッダーフィールドマッピング⑦</t>
    <phoneticPr fontId="5"/>
  </si>
  <si>
    <t>hf7_mapping</t>
    <phoneticPr fontId="5"/>
  </si>
  <si>
    <t>HF7_MAPPING</t>
    <phoneticPr fontId="5"/>
  </si>
  <si>
    <t>ワークフローのヘッダーフィールドとリンクさせる
財務側のヘッダーフィールド番号を指定します。（７つ目）
0：利用しない
1～10：財務側のヘッダーフィールド番号</t>
    <phoneticPr fontId="5"/>
  </si>
  <si>
    <t>ヘッダーフィールドマッピング⑧</t>
    <phoneticPr fontId="5"/>
  </si>
  <si>
    <t>hf8_mapping</t>
    <phoneticPr fontId="5"/>
  </si>
  <si>
    <t>HF8_MAPPING</t>
    <phoneticPr fontId="5"/>
  </si>
  <si>
    <t>ワークフローのヘッダーフィールドとリンクさせる
財務側のヘッダーフィールド番号を指定します。（８つ目）
0：利用しない
1～10：財務側のヘッダーフィールド番号</t>
    <phoneticPr fontId="5"/>
  </si>
  <si>
    <t>ヘッダーフィールドマッピング⑨</t>
    <phoneticPr fontId="5"/>
  </si>
  <si>
    <t>hf9_mapping</t>
    <phoneticPr fontId="5"/>
  </si>
  <si>
    <t>HF9_MAPPING</t>
    <phoneticPr fontId="5"/>
  </si>
  <si>
    <t>ワークフローのヘッダーフィールドとリンクさせる
財務側のヘッダーフィールド番号を指定します。（９つ目）
0：利用しない
1～10：財務側のヘッダーフィールド番号</t>
    <phoneticPr fontId="5"/>
  </si>
  <si>
    <t>ヘッダーフィールドマッピング⑩</t>
    <phoneticPr fontId="5"/>
  </si>
  <si>
    <t>hf10_mapping</t>
    <phoneticPr fontId="5"/>
  </si>
  <si>
    <t>HF10_MAPPING</t>
    <phoneticPr fontId="5"/>
  </si>
  <si>
    <t>ワークフローのヘッダーフィールドとリンクさせる
財務側のヘッダーフィールド番号を指定します。（１０こ目）
0：利用しない
1～10：財務側のヘッダーフィールド番号</t>
    <phoneticPr fontId="5"/>
  </si>
  <si>
    <t>ユニバーサルフィールドマッピング①</t>
    <phoneticPr fontId="5"/>
  </si>
  <si>
    <t>uf1_mapping</t>
    <phoneticPr fontId="5"/>
  </si>
  <si>
    <t>(0|([1-9]|[1]\d|20))</t>
    <phoneticPr fontId="5"/>
  </si>
  <si>
    <t>UF1_MAPPING</t>
    <phoneticPr fontId="5"/>
  </si>
  <si>
    <t>ワークフローのユニバーサルフィールドとリンクさせる
財務側のユニバーサルフィールド番号を指定します。（１つ目）
0：利用しない
1～20：財務側のユニバーサルフィールド番号</t>
  </si>
  <si>
    <t>他のUFマッピングに同じ番号が振られていた場合エラー
ユニバーサルフィールド伝票ID反映先と同じUFの場合エラー
起案番号のHF転記先と同じUFの場合エラー
法人カード識別用番号連携と同じUFの場合エラー</t>
    <rPh sb="92" eb="93">
      <t>オナ</t>
    </rPh>
    <rPh sb="97" eb="99">
      <t>バアイ</t>
    </rPh>
    <phoneticPr fontId="5"/>
  </si>
  <si>
    <t>ユニバーサルフィールドマッピング②</t>
    <phoneticPr fontId="5"/>
  </si>
  <si>
    <t>uf2_mapping</t>
    <phoneticPr fontId="5"/>
  </si>
  <si>
    <t>UF2_MAPPING</t>
    <phoneticPr fontId="5"/>
  </si>
  <si>
    <t>ワークフローのユニバーサルフィールドとリンクさせる
財務側のユニバーサルフィールド番号を指定します。（２つ目）
0：利用しない
1～20：財務側のユニバーサルフィールド番号</t>
  </si>
  <si>
    <t>ユニバーサルフィールドマッピング③</t>
    <phoneticPr fontId="5"/>
  </si>
  <si>
    <t>uf3_mapping</t>
    <phoneticPr fontId="5"/>
  </si>
  <si>
    <t>UF3_MAPPING</t>
    <phoneticPr fontId="5"/>
  </si>
  <si>
    <t>ワークフローのユニバーサルフィールドとリンクさせる
財務側のユニバーサルフィールド番号を指定します。（３つ目）
0：利用しない
1～20：財務側のユニバーサルフィールド番号</t>
  </si>
  <si>
    <t>ユニバーサルフィールドマッピング④</t>
    <phoneticPr fontId="5"/>
  </si>
  <si>
    <t>uf4_mapping</t>
    <phoneticPr fontId="5"/>
  </si>
  <si>
    <t>UF4_MAPPING</t>
    <phoneticPr fontId="5"/>
  </si>
  <si>
    <t>ワークフローのユニバーサルフィールドとリンクさせる
財務側のユニバーサルフィールド番号を指定します。（４つ目）
0：利用しない
1～20：財務側のユニバーサルフィールド番号</t>
    <phoneticPr fontId="5"/>
  </si>
  <si>
    <t>ユニバーサルフィールドマッピング⑤</t>
    <phoneticPr fontId="5"/>
  </si>
  <si>
    <t>uf5_mapping</t>
    <phoneticPr fontId="5"/>
  </si>
  <si>
    <t>UF5_MAPPING</t>
    <phoneticPr fontId="5"/>
  </si>
  <si>
    <t>ワークフローのユニバーサルフィールドとリンクさせる
財務側のユニバーサルフィールド番号を指定します。（５つ目）
0：利用しない
1～20：財務側のユニバーサルフィールド番号</t>
    <phoneticPr fontId="5"/>
  </si>
  <si>
    <t>ユニバーサルフィールドマッピング⑥</t>
    <phoneticPr fontId="5"/>
  </si>
  <si>
    <t>uf6_mapping</t>
    <phoneticPr fontId="5"/>
  </si>
  <si>
    <t>UF6_MAPPING</t>
    <phoneticPr fontId="5"/>
  </si>
  <si>
    <t>ワークフローのユニバーサルフィールドとリンクさせる
財務側のユニバーサルフィールド番号を指定します。（６つ目）
0：利用しない
1～20：財務側のユニバーサルフィールド番号</t>
    <phoneticPr fontId="5"/>
  </si>
  <si>
    <t>ユニバーサルフィールドマッピング⑦</t>
    <phoneticPr fontId="5"/>
  </si>
  <si>
    <t>uf7_mapping</t>
    <phoneticPr fontId="5"/>
  </si>
  <si>
    <t>UF7_MAPPING</t>
    <phoneticPr fontId="5"/>
  </si>
  <si>
    <t>ワークフローのユニバーサルフィールドとリンクさせる
財務側のユニバーサルフィールド番号を指定します。（７つ目）
0：利用しない
1～20：財務側のユニバーサルフィールド番号</t>
    <phoneticPr fontId="5"/>
  </si>
  <si>
    <t>ユニバーサルフィールドマッピング⑧</t>
    <phoneticPr fontId="5"/>
  </si>
  <si>
    <t>uf8_mapping</t>
    <phoneticPr fontId="5"/>
  </si>
  <si>
    <t>UF8_MAPPING</t>
    <phoneticPr fontId="5"/>
  </si>
  <si>
    <t>ワークフローのユニバーサルフィールドとリンクさせる
財務側のユニバーサルフィールド番号を指定します。（８つ目）
0：利用しない
1～20：財務側のユニバーサルフィールド番号</t>
    <phoneticPr fontId="5"/>
  </si>
  <si>
    <t>ユニバーサルフィールドマッピング⑨</t>
    <phoneticPr fontId="5"/>
  </si>
  <si>
    <t>uf9_mapping</t>
    <phoneticPr fontId="5"/>
  </si>
  <si>
    <t>UF9_MAPPING</t>
    <phoneticPr fontId="5"/>
  </si>
  <si>
    <t>ワークフローのユニバーサルフィールドとリンクさせる
財務側のユニバーサルフィールド番号を指定します。（９つ目）
0：利用しない
1～20：財務側のユニバーサルフィールド番号</t>
    <phoneticPr fontId="5"/>
  </si>
  <si>
    <t>ユニバーサルフィールドマッピング⑩</t>
    <phoneticPr fontId="5"/>
  </si>
  <si>
    <t>uf10_mapping</t>
    <phoneticPr fontId="5"/>
  </si>
  <si>
    <t>UF10_MAPPING</t>
    <phoneticPr fontId="5"/>
  </si>
  <si>
    <t>ワークフローのユニバーサルフィールドとリンクさせる
財務側のユニバーサルフィールド番号を指定します。（１０こ目）
0：利用しない
1～20：財務側のユニバーサルフィールド番号</t>
    <phoneticPr fontId="5"/>
  </si>
  <si>
    <t>ユニバーサルフィールドマッピング(固定値)①</t>
  </si>
  <si>
    <t>uf_kotei1_mapping</t>
    <phoneticPr fontId="5"/>
  </si>
  <si>
    <t>UF_KOTEI1_MAPPING</t>
    <phoneticPr fontId="5"/>
  </si>
  <si>
    <t>ワークフローのユニバーサルフィールドとリンクさせる
財務側のユニバーサルフィールド番号（固定）を指定します。（１つ目）
0：利用しない
1～20：財務側のユニバーサルフィールド番号</t>
    <rPh sb="44" eb="46">
      <t>コテイ</t>
    </rPh>
    <phoneticPr fontId="5"/>
  </si>
  <si>
    <t>ユニバーサルフィールドマッピング(固定値)②</t>
  </si>
  <si>
    <t>uf_kotei2_mapping</t>
  </si>
  <si>
    <t>UF_KOTEI2_MAPPING</t>
  </si>
  <si>
    <t>ワークフローのユニバーサルフィールドとリンクさせる
財務側のユニバーサルフィールド番号（固定）を指定します。（２つ目）
0：利用しない
1～20：財務側のユニバーサルフィールド番号</t>
    <rPh sb="44" eb="46">
      <t>コテイ</t>
    </rPh>
    <phoneticPr fontId="5"/>
  </si>
  <si>
    <t>ユニバーサルフィールドマッピング(固定値)③</t>
  </si>
  <si>
    <t>uf_kotei3_mapping</t>
  </si>
  <si>
    <t>UF_KOTEI3_MAPPING</t>
  </si>
  <si>
    <t>ワークフローのユニバーサルフィールドとリンクさせる
財務側のユニバーサルフィールド番号（固定）を指定します。（３つ目）
0：利用しない
1～20：財務側のユニバーサルフィールド番号</t>
    <rPh sb="44" eb="46">
      <t>コテイ</t>
    </rPh>
    <phoneticPr fontId="5"/>
  </si>
  <si>
    <t>ユニバーサルフィールドマッピング(固定値)④</t>
  </si>
  <si>
    <t>uf_kotei4_mapping</t>
  </si>
  <si>
    <t>UF_KOTEI4_MAPPING</t>
  </si>
  <si>
    <t>ワークフローのユニバーサルフィールドとリンクさせる
財務側のユニバーサルフィールド番号（固定）を指定します。（４つ目）
0：利用しない
1～20：財務側のユニバーサルフィールド番号</t>
    <rPh sb="44" eb="46">
      <t>コテイ</t>
    </rPh>
    <phoneticPr fontId="5"/>
  </si>
  <si>
    <t>ユニバーサルフィールドマッピング(固定値)⑤</t>
    <rPh sb="17" eb="20">
      <t>コテイチ</t>
    </rPh>
    <phoneticPr fontId="5"/>
  </si>
  <si>
    <t>uf_kotei5_mapping</t>
  </si>
  <si>
    <t>UF_KOTEI5_MAPPING</t>
  </si>
  <si>
    <t>ワークフローのユニバーサルフィールドとリンクさせる
財務側のユニバーサルフィールド番号（固定）を指定します。（５つ目）
0：利用しない
1～20：財務側のユニバーサルフィールド番号</t>
    <rPh sb="44" eb="46">
      <t>コテイ</t>
    </rPh>
    <phoneticPr fontId="5"/>
  </si>
  <si>
    <t>ユニバーサルフィールドマッピング(固定値)⑥</t>
  </si>
  <si>
    <t>uf_kotei6_mapping</t>
  </si>
  <si>
    <t>UF_KOTEI6_MAPPING</t>
  </si>
  <si>
    <t>ワークフローのユニバーサルフィールドとリンクさせる
財務側のユニバーサルフィールド番号（固定）を指定します。（６つ目）
0：利用しない
1～20：財務側のユニバーサルフィールド番号</t>
    <rPh sb="44" eb="46">
      <t>コテイ</t>
    </rPh>
    <phoneticPr fontId="5"/>
  </si>
  <si>
    <t>ユニバーサルフィールドマッピング(固定値)⑦</t>
  </si>
  <si>
    <t>uf_kotei7_mapping</t>
  </si>
  <si>
    <t>UF_KOTEI7_MAPPING</t>
  </si>
  <si>
    <t>ワークフローのユニバーサルフィールドとリンクさせる
財務側のユニバーサルフィールド番号（固定）を指定します。（７つ目）
0：利用しない
1～20：財務側のユニバーサルフィールド番号</t>
    <rPh sb="44" eb="46">
      <t>コテイ</t>
    </rPh>
    <phoneticPr fontId="5"/>
  </si>
  <si>
    <t>ユニバーサルフィールドマッピング(固定値)⑧</t>
  </si>
  <si>
    <t>uf_kotei8_mapping</t>
  </si>
  <si>
    <t>UF_KOTEI8_MAPPING</t>
  </si>
  <si>
    <t>ワークフローのユニバーサルフィールドとリンクさせる
財務側のユニバーサルフィールド番号（固定）を指定します。（８つ目）
0：利用しない
1～20：財務側のユニバーサルフィールド番号</t>
    <rPh sb="44" eb="46">
      <t>コテイ</t>
    </rPh>
    <phoneticPr fontId="5"/>
  </si>
  <si>
    <t>ユニバーサルフィールドマッピング(固定値)⑨</t>
  </si>
  <si>
    <t>uf_kotei9_mapping</t>
  </si>
  <si>
    <t>UF_KOTEI9_MAPPING</t>
  </si>
  <si>
    <t>ワークフローのユニバーサルフィールドとリンクさせる
財務側のユニバーサルフィールド番号（固定）を指定します。（９つ目）
0：利用しない
1～20：財務側のユニバーサルフィールド番号</t>
    <rPh sb="44" eb="46">
      <t>コテイ</t>
    </rPh>
    <phoneticPr fontId="5"/>
  </si>
  <si>
    <t>ユニバーサルフィールドマッピング(固定値)⑩</t>
    <rPh sb="17" eb="20">
      <t>コテイチ</t>
    </rPh>
    <phoneticPr fontId="5"/>
  </si>
  <si>
    <t>uf_kotei10_mapping</t>
  </si>
  <si>
    <t>UF_KOTEI10_MAPPING</t>
  </si>
  <si>
    <t>ワークフローのユニバーサルフィールドとリンクさせる
財務側のユニバーサルフィールド番号（固定）を指定します。（１０こ目）
0：利用しない
1～20：財務側のユニバーサルフィールド番号</t>
    <rPh sb="44" eb="46">
      <t>コテイ</t>
    </rPh>
    <phoneticPr fontId="5"/>
  </si>
  <si>
    <t>添付ファイル連携</t>
    <phoneticPr fontId="5"/>
  </si>
  <si>
    <t>tenpu_file_renkei</t>
    <phoneticPr fontId="5"/>
  </si>
  <si>
    <t>TENPU_FILE_RENKEI</t>
    <phoneticPr fontId="5"/>
  </si>
  <si>
    <t>ワークフローの添付ファイルを財務連携するかどうか。
※許容された拡張子以外の添付ファイルは無視します。
0：連携しない
1：連携する</t>
  </si>
  <si>
    <t>仕訳作成エラー発生時の進め方</t>
    <rPh sb="0" eb="2">
      <t>シワケ</t>
    </rPh>
    <rPh sb="2" eb="4">
      <t>サクセイ</t>
    </rPh>
    <rPh sb="7" eb="10">
      <t>ハッセイジ</t>
    </rPh>
    <rPh sb="11" eb="12">
      <t>スス</t>
    </rPh>
    <rPh sb="13" eb="14">
      <t>カタ</t>
    </rPh>
    <phoneticPr fontId="5"/>
  </si>
  <si>
    <t>shiwake_sakusei_error_action</t>
    <phoneticPr fontId="5"/>
  </si>
  <si>
    <t>SHIWAKE_SAKUSEI_ERROR_ACTION</t>
  </si>
  <si>
    <t>仕訳作成処理でエラーが発生した時の進め方を指定します。
1：エラーが発生した伝票種別の仕訳は全て転記しない
2：正常な仕訳は転記する</t>
    <rPh sb="0" eb="2">
      <t>シワケ</t>
    </rPh>
    <rPh sb="2" eb="4">
      <t>サクセイ</t>
    </rPh>
    <rPh sb="4" eb="6">
      <t>ショリ</t>
    </rPh>
    <rPh sb="11" eb="13">
      <t>ハッセイ</t>
    </rPh>
    <rPh sb="15" eb="16">
      <t>トキ</t>
    </rPh>
    <rPh sb="17" eb="18">
      <t>スス</t>
    </rPh>
    <rPh sb="19" eb="20">
      <t>カタ</t>
    </rPh>
    <rPh sb="21" eb="23">
      <t>シテイ</t>
    </rPh>
    <rPh sb="34" eb="36">
      <t>ハッセイ</t>
    </rPh>
    <rPh sb="38" eb="40">
      <t>デンピョウ</t>
    </rPh>
    <rPh sb="40" eb="42">
      <t>シュベツ</t>
    </rPh>
    <rPh sb="43" eb="45">
      <t>シワケ</t>
    </rPh>
    <rPh sb="46" eb="47">
      <t>スベ</t>
    </rPh>
    <rPh sb="48" eb="50">
      <t>テンキ</t>
    </rPh>
    <rPh sb="56" eb="58">
      <t>セイジョウ</t>
    </rPh>
    <rPh sb="59" eb="61">
      <t>シワケ</t>
    </rPh>
    <rPh sb="62" eb="64">
      <t>テンキ</t>
    </rPh>
    <phoneticPr fontId="5"/>
  </si>
  <si>
    <t>先日付の仕訳連携</t>
    <rPh sb="0" eb="3">
      <t>サキヒヅケ</t>
    </rPh>
    <rPh sb="4" eb="6">
      <t>シワケ</t>
    </rPh>
    <rPh sb="6" eb="8">
      <t>レンケイ</t>
    </rPh>
    <phoneticPr fontId="5"/>
  </si>
  <si>
    <t>shiwake_sakusei_sakihiduke</t>
    <phoneticPr fontId="5"/>
  </si>
  <si>
    <t>SHIWAKE_SAKUSEI_SAKIHIDUKE</t>
    <phoneticPr fontId="5"/>
  </si>
  <si>
    <t>仕訳作成処理で先日付の仕訳連携を許容するかどうかを指定します。
0：許容しない
1：許容する</t>
    <rPh sb="0" eb="2">
      <t>シワケ</t>
    </rPh>
    <rPh sb="2" eb="4">
      <t>サクセイ</t>
    </rPh>
    <rPh sb="4" eb="6">
      <t>ショリ</t>
    </rPh>
    <rPh sb="7" eb="10">
      <t>サキヒヅケ</t>
    </rPh>
    <rPh sb="11" eb="13">
      <t>シワケ</t>
    </rPh>
    <rPh sb="13" eb="15">
      <t>レンケイ</t>
    </rPh>
    <rPh sb="16" eb="18">
      <t>キョヨウ</t>
    </rPh>
    <rPh sb="25" eb="27">
      <t>シテイ</t>
    </rPh>
    <rPh sb="34" eb="36">
      <t>キョヨウ</t>
    </rPh>
    <rPh sb="42" eb="44">
      <t>キョヨウ</t>
    </rPh>
    <phoneticPr fontId="5"/>
  </si>
  <si>
    <t>仕訳作成方法(経費立替精算)</t>
    <rPh sb="0" eb="2">
      <t>シワケ</t>
    </rPh>
    <rPh sb="2" eb="4">
      <t>サクセイ</t>
    </rPh>
    <rPh sb="4" eb="6">
      <t>ホウホウ</t>
    </rPh>
    <rPh sb="7" eb="9">
      <t>ケイヒ</t>
    </rPh>
    <rPh sb="9" eb="11">
      <t>タテカエ</t>
    </rPh>
    <rPh sb="11" eb="13">
      <t>セイサン</t>
    </rPh>
    <phoneticPr fontId="5"/>
  </si>
  <si>
    <t>shiwake_sakusei_houhou_A001</t>
    <phoneticPr fontId="5"/>
  </si>
  <si>
    <t>(1|2|3)</t>
    <phoneticPr fontId="5"/>
  </si>
  <si>
    <t>SHIWAKE_SAKUSEI_HOUHOU_A001</t>
    <phoneticPr fontId="5"/>
  </si>
  <si>
    <t>仕訳の作成方法を指定します。
※仕訳作成方法を現金主義→発生主義に変更した場合、必ず経費立替精算の取引に対して貸方３を設定してください。
1：発生主義（計上日と支払日が異なる場合作成）
2：発生主義（常に作成）
3：現金主義</t>
    <rPh sb="3" eb="5">
      <t>サクセイ</t>
    </rPh>
    <rPh sb="5" eb="7">
      <t>ホウホウ</t>
    </rPh>
    <rPh sb="8" eb="10">
      <t>シテイ</t>
    </rPh>
    <phoneticPr fontId="5"/>
  </si>
  <si>
    <t>仕訳作成方法(自動引落)</t>
    <rPh sb="0" eb="2">
      <t>シワケ</t>
    </rPh>
    <rPh sb="2" eb="4">
      <t>サクセイ</t>
    </rPh>
    <rPh sb="4" eb="6">
      <t>ホウホウ</t>
    </rPh>
    <rPh sb="7" eb="9">
      <t>ジドウ</t>
    </rPh>
    <rPh sb="9" eb="11">
      <t>ヒキオトシ</t>
    </rPh>
    <phoneticPr fontId="5"/>
  </si>
  <si>
    <t>shiwake_sakusei_houhou_A009</t>
    <phoneticPr fontId="5"/>
  </si>
  <si>
    <t>SHIWAKE_SAKUSEI_HOUHOU_A009</t>
    <phoneticPr fontId="5"/>
  </si>
  <si>
    <t>仕訳の作成方法を指定します。
※仕訳作成方法を現金主義→発生主義に変更した場合、必ず自動引落の取引に対して貸方２を設定してください。
1：発生主義（計上日と支払日が異なる場合作成）
2：発生主義（常に作成）
3：現金主義</t>
    <rPh sb="3" eb="5">
      <t>サクセイ</t>
    </rPh>
    <rPh sb="5" eb="7">
      <t>ホウホウ</t>
    </rPh>
    <rPh sb="8" eb="10">
      <t>シテイ</t>
    </rPh>
    <rPh sb="42" eb="44">
      <t>ジドウ</t>
    </rPh>
    <rPh sb="44" eb="46">
      <t>ヒキオトシ</t>
    </rPh>
    <phoneticPr fontId="5"/>
  </si>
  <si>
    <t>仕訳作成方法(出張旅費精算)</t>
    <rPh sb="0" eb="2">
      <t>シワケ</t>
    </rPh>
    <rPh sb="2" eb="4">
      <t>サクセイ</t>
    </rPh>
    <rPh sb="4" eb="6">
      <t>ホウホウ</t>
    </rPh>
    <rPh sb="7" eb="9">
      <t>シュッチョウ</t>
    </rPh>
    <rPh sb="9" eb="11">
      <t>リョヒ</t>
    </rPh>
    <rPh sb="11" eb="13">
      <t>セイサン</t>
    </rPh>
    <phoneticPr fontId="5"/>
  </si>
  <si>
    <t>shiwake_sakusei_houhou_A004</t>
    <phoneticPr fontId="5"/>
  </si>
  <si>
    <t>SHIWAKE_SAKUSEI_HOUHOU_A004</t>
    <phoneticPr fontId="5"/>
  </si>
  <si>
    <t>仕訳の作成方法を指定します。
※仕訳作成方法を現金主義→発生主義に変更した場合、必ず出張旅費精算の取引に対して貸方３を設定してください。
1：発生主義（計上日と支払日が異なる場合作成）
2：発生主義（常に作成）
3：現金主義</t>
    <rPh sb="3" eb="5">
      <t>サクセイ</t>
    </rPh>
    <rPh sb="5" eb="7">
      <t>ホウホウ</t>
    </rPh>
    <rPh sb="8" eb="10">
      <t>シテイ</t>
    </rPh>
    <rPh sb="42" eb="44">
      <t>シュッチョウ</t>
    </rPh>
    <rPh sb="44" eb="46">
      <t>リョヒ</t>
    </rPh>
    <phoneticPr fontId="5"/>
  </si>
  <si>
    <t>仕訳作成方法(海外出張旅費精算)</t>
    <rPh sb="0" eb="2">
      <t>シワケ</t>
    </rPh>
    <rPh sb="2" eb="4">
      <t>サクセイ</t>
    </rPh>
    <rPh sb="4" eb="6">
      <t>ホウホウ</t>
    </rPh>
    <rPh sb="7" eb="9">
      <t>カイガイ</t>
    </rPh>
    <rPh sb="9" eb="11">
      <t>シュッチョウ</t>
    </rPh>
    <rPh sb="11" eb="13">
      <t>リョヒ</t>
    </rPh>
    <rPh sb="13" eb="15">
      <t>セイサン</t>
    </rPh>
    <phoneticPr fontId="5"/>
  </si>
  <si>
    <t>shiwake_sakusei_houhou_A011</t>
    <phoneticPr fontId="5"/>
  </si>
  <si>
    <t>SHIWAKE_SAKUSEI_HOUHOU_A011</t>
    <phoneticPr fontId="5"/>
  </si>
  <si>
    <t>仕訳作成方法(交通費精算)</t>
    <rPh sb="0" eb="2">
      <t>シワケ</t>
    </rPh>
    <rPh sb="2" eb="4">
      <t>サクセイ</t>
    </rPh>
    <rPh sb="4" eb="6">
      <t>ホウホウ</t>
    </rPh>
    <rPh sb="7" eb="10">
      <t>コウツウヒ</t>
    </rPh>
    <rPh sb="10" eb="12">
      <t>セイサン</t>
    </rPh>
    <phoneticPr fontId="5"/>
  </si>
  <si>
    <t>shiwake_sakusei_houhou_A010</t>
    <phoneticPr fontId="5"/>
  </si>
  <si>
    <t>SHIWAKE_SAKUSEI_HOUHOU_A010</t>
    <phoneticPr fontId="5"/>
  </si>
  <si>
    <t>仕訳の作成方法を指定します。
※仕訳作成方法を現金主義→発生主義に変更した場合、必ず交通費精算の取引に対して貸方３を設定してください。
1：発生主義（計上日と支払日が異なる場合作成）
2：発生主義（常に作成）
3：現金主義</t>
    <rPh sb="3" eb="5">
      <t>サクセイ</t>
    </rPh>
    <rPh sb="5" eb="7">
      <t>ホウホウ</t>
    </rPh>
    <rPh sb="8" eb="10">
      <t>シテイ</t>
    </rPh>
    <rPh sb="42" eb="45">
      <t>コウツウヒ</t>
    </rPh>
    <phoneticPr fontId="5"/>
  </si>
  <si>
    <t>仮払残金仕訳作成有無(経費立替精算)</t>
    <phoneticPr fontId="5"/>
  </si>
  <si>
    <t>zankin_shiwake_sakusei_umu_A001</t>
    <phoneticPr fontId="5"/>
  </si>
  <si>
    <t>ZANKIN_SHIWAKE_SAKUSEI_UMU_A001</t>
    <phoneticPr fontId="5"/>
  </si>
  <si>
    <t>精算において仮払残金仕訳の作成有無を指定します。
0：作成しない
1：作成する</t>
    <rPh sb="0" eb="2">
      <t>セイサン</t>
    </rPh>
    <rPh sb="6" eb="8">
      <t>カリバライ</t>
    </rPh>
    <rPh sb="8" eb="10">
      <t>ザンキン</t>
    </rPh>
    <rPh sb="10" eb="12">
      <t>シワケ</t>
    </rPh>
    <rPh sb="13" eb="15">
      <t>サクセイ</t>
    </rPh>
    <rPh sb="15" eb="17">
      <t>ウム</t>
    </rPh>
    <rPh sb="18" eb="20">
      <t>シテイ</t>
    </rPh>
    <phoneticPr fontId="5"/>
  </si>
  <si>
    <t>仮払残金仕訳作成有無(出張旅費精算)</t>
    <rPh sb="11" eb="13">
      <t>シュッチョウ</t>
    </rPh>
    <rPh sb="13" eb="15">
      <t>リョヒ</t>
    </rPh>
    <rPh sb="15" eb="17">
      <t>セイサン</t>
    </rPh>
    <phoneticPr fontId="5"/>
  </si>
  <si>
    <t>zankin_shiwake_sakusei_umu_A004</t>
    <phoneticPr fontId="5"/>
  </si>
  <si>
    <t>ZANKIN_SHIWAKE_SAKUSEI_UMU_A004</t>
    <phoneticPr fontId="5"/>
  </si>
  <si>
    <t>仮払残金仕訳作成有無(海外出張旅費精算)</t>
    <rPh sb="11" eb="13">
      <t>カイガイ</t>
    </rPh>
    <rPh sb="13" eb="15">
      <t>シュッチョウ</t>
    </rPh>
    <rPh sb="15" eb="17">
      <t>リョヒ</t>
    </rPh>
    <rPh sb="17" eb="19">
      <t>セイサン</t>
    </rPh>
    <phoneticPr fontId="5"/>
  </si>
  <si>
    <t>zankin_shiwake_sakusei_umu_A011</t>
    <phoneticPr fontId="5"/>
  </si>
  <si>
    <t>ZANKIN_SHIWAKE_SAKUSEI_UMU_A011</t>
    <phoneticPr fontId="5"/>
  </si>
  <si>
    <t>仮払残金仕訳の日付(経費立替精算)</t>
    <rPh sb="0" eb="2">
      <t>カリバライ</t>
    </rPh>
    <rPh sb="2" eb="4">
      <t>ザンキン</t>
    </rPh>
    <rPh sb="4" eb="6">
      <t>シワケ</t>
    </rPh>
    <rPh sb="7" eb="9">
      <t>ヒヅケ</t>
    </rPh>
    <rPh sb="10" eb="12">
      <t>ケイヒ</t>
    </rPh>
    <rPh sb="12" eb="14">
      <t>タテカエ</t>
    </rPh>
    <rPh sb="14" eb="16">
      <t>セイサン</t>
    </rPh>
    <phoneticPr fontId="5"/>
  </si>
  <si>
    <t>zankin_shiwake_hi_A001</t>
    <phoneticPr fontId="5"/>
  </si>
  <si>
    <t>ZANKIN_SHIWAKE_SAKUSEI_HI_A001</t>
    <phoneticPr fontId="5"/>
  </si>
  <si>
    <t>仮払残金仕訳作成有無(経費立替精算)の値が1(作成する)の際に有効。
1：計上日
2：支払日</t>
    <rPh sb="23" eb="25">
      <t>サクセイ</t>
    </rPh>
    <rPh sb="29" eb="30">
      <t>サイ</t>
    </rPh>
    <rPh sb="31" eb="33">
      <t>ユウコウ</t>
    </rPh>
    <rPh sb="37" eb="40">
      <t>ケイジョウビ</t>
    </rPh>
    <rPh sb="43" eb="46">
      <t>シハライビ</t>
    </rPh>
    <phoneticPr fontId="5"/>
  </si>
  <si>
    <t>仮払残金仕訳の日付(出張旅費精算)</t>
    <rPh sb="10" eb="12">
      <t>シュッチョウ</t>
    </rPh>
    <rPh sb="12" eb="14">
      <t>リョヒ</t>
    </rPh>
    <rPh sb="14" eb="16">
      <t>セイサン</t>
    </rPh>
    <phoneticPr fontId="5"/>
  </si>
  <si>
    <t>zankin_shiwake_hi_A004</t>
    <phoneticPr fontId="5"/>
  </si>
  <si>
    <t>ZANKIN_SHIWAKE_SAKUSEI_HI_A004</t>
    <phoneticPr fontId="5"/>
  </si>
  <si>
    <t>仮払残金仕訳作成有無(出張旅費精算)の値が1(作成する)の際に有効。
1：計上日
2：支払日</t>
    <rPh sb="0" eb="2">
      <t>カリバライ</t>
    </rPh>
    <rPh sb="2" eb="4">
      <t>ザンキン</t>
    </rPh>
    <rPh sb="4" eb="6">
      <t>シワケ</t>
    </rPh>
    <rPh sb="6" eb="8">
      <t>サクセイ</t>
    </rPh>
    <rPh sb="8" eb="10">
      <t>ウム</t>
    </rPh>
    <rPh sb="19" eb="20">
      <t>アタイ</t>
    </rPh>
    <rPh sb="23" eb="25">
      <t>サクセイ</t>
    </rPh>
    <rPh sb="29" eb="30">
      <t>サイ</t>
    </rPh>
    <rPh sb="31" eb="33">
      <t>ユウコウ</t>
    </rPh>
    <rPh sb="37" eb="40">
      <t>ケイジョウビ</t>
    </rPh>
    <rPh sb="43" eb="46">
      <t>シハライビ</t>
    </rPh>
    <phoneticPr fontId="5"/>
  </si>
  <si>
    <t>仮払残金仕訳の日付(海外出張旅費精算)</t>
    <rPh sb="10" eb="12">
      <t>カイガイ</t>
    </rPh>
    <rPh sb="12" eb="14">
      <t>シュッチョウ</t>
    </rPh>
    <rPh sb="14" eb="16">
      <t>リョヒ</t>
    </rPh>
    <rPh sb="16" eb="18">
      <t>セイサン</t>
    </rPh>
    <phoneticPr fontId="5"/>
  </si>
  <si>
    <t>zankin_shiwake_hi_A011</t>
    <phoneticPr fontId="5"/>
  </si>
  <si>
    <t>ZANKIN_SHIWAKE_SAKUSEI_HI_A011</t>
    <phoneticPr fontId="5"/>
  </si>
  <si>
    <t>仮払残金仕訳作成有無(海外出張旅費精算)の値が1(作成する)の際に有効。
1：計上日
2：支払日</t>
    <rPh sb="0" eb="2">
      <t>カリバライ</t>
    </rPh>
    <rPh sb="2" eb="4">
      <t>ザンキン</t>
    </rPh>
    <rPh sb="4" eb="6">
      <t>シワケ</t>
    </rPh>
    <rPh sb="6" eb="8">
      <t>サクセイ</t>
    </rPh>
    <rPh sb="8" eb="10">
      <t>ウム</t>
    </rPh>
    <rPh sb="11" eb="13">
      <t>カイガイ</t>
    </rPh>
    <rPh sb="13" eb="15">
      <t>シュッチョウ</t>
    </rPh>
    <rPh sb="15" eb="17">
      <t>リョヒ</t>
    </rPh>
    <rPh sb="17" eb="19">
      <t>セイサン</t>
    </rPh>
    <rPh sb="21" eb="22">
      <t>アタイ</t>
    </rPh>
    <rPh sb="25" eb="27">
      <t>サクセイ</t>
    </rPh>
    <rPh sb="31" eb="32">
      <t>サイ</t>
    </rPh>
    <rPh sb="33" eb="35">
      <t>ユウコウ</t>
    </rPh>
    <rPh sb="39" eb="42">
      <t>ケイジョウビ</t>
    </rPh>
    <rPh sb="45" eb="48">
      <t>シハライビ</t>
    </rPh>
    <phoneticPr fontId="5"/>
  </si>
  <si>
    <t>開始番号(伝票番号)</t>
    <phoneticPr fontId="5"/>
  </si>
  <si>
    <t>denpyou_serial_no_start</t>
    <phoneticPr fontId="5"/>
  </si>
  <si>
    <t>^\d{0,7}[13579]$</t>
    <phoneticPr fontId="5"/>
  </si>
  <si>
    <t>DENPYOU_SERIAL_NO_START</t>
    <phoneticPr fontId="5"/>
  </si>
  <si>
    <t>伝票番号の開始を指定します。
1～99999997の奇数番号を設定。</t>
    <rPh sb="0" eb="2">
      <t>デンピョウ</t>
    </rPh>
    <rPh sb="2" eb="4">
      <t>バンゴウ</t>
    </rPh>
    <rPh sb="5" eb="7">
      <t>カイシ</t>
    </rPh>
    <rPh sb="8" eb="10">
      <t>シテイ</t>
    </rPh>
    <phoneticPr fontId="5"/>
  </si>
  <si>
    <t>終了番号(伝票番号)</t>
    <rPh sb="0" eb="2">
      <t>シュウリョウ</t>
    </rPh>
    <phoneticPr fontId="5"/>
  </si>
  <si>
    <t>denpyou_serial_no_end</t>
    <phoneticPr fontId="5"/>
  </si>
  <si>
    <t>^\d{0,7}[02468]$</t>
    <phoneticPr fontId="5"/>
  </si>
  <si>
    <t>DENPYOU_SERIAL_NO_END</t>
    <phoneticPr fontId="5"/>
  </si>
  <si>
    <t>伝票番号の終了を指定します。
2～99999998の偶数番号を設定。</t>
    <phoneticPr fontId="5"/>
  </si>
  <si>
    <t>伝票作成単位</t>
    <phoneticPr fontId="5"/>
  </si>
  <si>
    <t>経費立替精算</t>
  </si>
  <si>
    <t>denpyou_sakusei_tani_A001</t>
    <phoneticPr fontId="5"/>
  </si>
  <si>
    <t>DENPYOU_SAKUSEI_TANI_A001</t>
  </si>
  <si>
    <t>仕訳転記時の伝票作成単位を指定します。
1：伝票種別毎申請伝票毎
2：伝票種別毎同一伝票日付毎</t>
    <rPh sb="0" eb="2">
      <t>シワケ</t>
    </rPh>
    <rPh sb="2" eb="4">
      <t>テンキ</t>
    </rPh>
    <rPh sb="4" eb="5">
      <t>ジ</t>
    </rPh>
    <rPh sb="6" eb="10">
      <t>デンピョウサクセイ</t>
    </rPh>
    <rPh sb="10" eb="12">
      <t>タンイ</t>
    </rPh>
    <rPh sb="13" eb="15">
      <t>シテイ</t>
    </rPh>
    <rPh sb="22" eb="24">
      <t>デンピョウ</t>
    </rPh>
    <rPh sb="24" eb="26">
      <t>シュベツ</t>
    </rPh>
    <rPh sb="26" eb="27">
      <t>ゴト</t>
    </rPh>
    <rPh sb="27" eb="29">
      <t>シンセイ</t>
    </rPh>
    <rPh sb="29" eb="31">
      <t>デンピョウ</t>
    </rPh>
    <rPh sb="31" eb="32">
      <t>ゴト</t>
    </rPh>
    <rPh sb="35" eb="37">
      <t>デンピョウ</t>
    </rPh>
    <rPh sb="37" eb="39">
      <t>シュベツ</t>
    </rPh>
    <rPh sb="39" eb="40">
      <t>ゴト</t>
    </rPh>
    <rPh sb="40" eb="42">
      <t>ドウイツ</t>
    </rPh>
    <rPh sb="42" eb="44">
      <t>デンピョウ</t>
    </rPh>
    <rPh sb="44" eb="46">
      <t>ヒヅケ</t>
    </rPh>
    <rPh sb="46" eb="47">
      <t>ゴト</t>
    </rPh>
    <phoneticPr fontId="5"/>
  </si>
  <si>
    <t>経費伺い申請（仮払申請）</t>
    <rPh sb="0" eb="2">
      <t>ケイヒ</t>
    </rPh>
    <phoneticPr fontId="5"/>
  </si>
  <si>
    <t>denpyou_sakusei_tani_A002</t>
  </si>
  <si>
    <t>DENPYOU_SAKUSEI_TANI_A002</t>
  </si>
  <si>
    <t>請求書払い申請</t>
  </si>
  <si>
    <t>denpyou_sakusei_tani_A003</t>
  </si>
  <si>
    <t>DENPYOU_SAKUSEI_TANI_A003</t>
  </si>
  <si>
    <t>支払依頼申請</t>
  </si>
  <si>
    <t>denpyou_sakusei_tani_A013</t>
    <phoneticPr fontId="5"/>
  </si>
  <si>
    <t>DENPYOU_SAKUSEI_TANI_A013</t>
    <phoneticPr fontId="5"/>
  </si>
  <si>
    <t>自動引落伝票</t>
  </si>
  <si>
    <t>denpyou_sakusei_tani_A009</t>
  </si>
  <si>
    <t>DENPYOU_SAKUSEI_TANI_A009</t>
  </si>
  <si>
    <t>出張旅費精算</t>
  </si>
  <si>
    <t>denpyou_sakusei_tani_A004</t>
  </si>
  <si>
    <t>DENPYOU_SAKUSEI_TANI_A004</t>
  </si>
  <si>
    <t>出張伺い申請（仮払申請）</t>
    <phoneticPr fontId="5"/>
  </si>
  <si>
    <t>denpyou_sakusei_tani_A005</t>
  </si>
  <si>
    <t>DENPYOU_SAKUSEI_TANI_A005</t>
  </si>
  <si>
    <t>海外出張旅費精算</t>
    <rPh sb="0" eb="2">
      <t>カイガイ</t>
    </rPh>
    <phoneticPr fontId="39"/>
  </si>
  <si>
    <t>denpyou_sakusei_tani_A011</t>
    <phoneticPr fontId="39"/>
  </si>
  <si>
    <t>DENPYOU_SAKUSEI_TANI_A011</t>
    <phoneticPr fontId="39"/>
  </si>
  <si>
    <t>海外出張伺い申請（仮払申請）</t>
    <phoneticPr fontId="5"/>
  </si>
  <si>
    <t>denpyou_sakusei_tani_A012</t>
    <phoneticPr fontId="39"/>
  </si>
  <si>
    <t>DENPYOU_SAKUSEI_TANI_A012</t>
    <phoneticPr fontId="39"/>
  </si>
  <si>
    <t>交通費精算</t>
  </si>
  <si>
    <t>denpyou_sakusei_tani_A010</t>
    <phoneticPr fontId="5"/>
  </si>
  <si>
    <t>DENPYOU_SAKUSEI_TANI_A010</t>
    <phoneticPr fontId="5"/>
  </si>
  <si>
    <t>通勤定期申請</t>
  </si>
  <si>
    <t>denpyou_sakusei_tani_A006</t>
  </si>
  <si>
    <t>DENPYOU_SAKUSEI_TANI_A006</t>
  </si>
  <si>
    <t>振替伝票</t>
  </si>
  <si>
    <t>denpyou_sakusei_tani_A007</t>
  </si>
  <si>
    <t>DENPYOU_SAKUSEI_TANI_A007</t>
  </si>
  <si>
    <t>総合付替伝票</t>
  </si>
  <si>
    <t>denpyou_sakusei_tani_A008</t>
  </si>
  <si>
    <t>DENPYOU_SAKUSEI_TANI_A008</t>
  </si>
  <si>
    <t>仕訳摘要内容</t>
    <phoneticPr fontId="5"/>
  </si>
  <si>
    <t>経費立替精算</t>
    <phoneticPr fontId="38"/>
  </si>
  <si>
    <t>shiwake_tekiyou_naiyou_A001</t>
    <phoneticPr fontId="5"/>
  </si>
  <si>
    <t>&lt;USER&gt; &lt;SHIYOUBI&gt;  &lt;TEKIYOU&gt;</t>
    <phoneticPr fontId="5"/>
  </si>
  <si>
    <t>SHIWAKE_TEKIYOU_NAIYOU_A001</t>
  </si>
  <si>
    <t>経費立替仮払相殺</t>
    <phoneticPr fontId="38"/>
  </si>
  <si>
    <t>shiwake_tekiyou_naiyou_A001_1</t>
  </si>
  <si>
    <t>&lt;USER&gt;  経費立替仮払相殺</t>
  </si>
  <si>
    <t>SHIWAKE_TEKIYOU_NAIYOU_A001_1</t>
  </si>
  <si>
    <t>&lt;USER&gt;：ユーザー名
&lt;SHIYOUSHA&gt;：伝票画面で入力した使用者
&lt;TORIHIKI&gt;：伝票画面で入力した取引名
&lt;TEKIYOU&gt;：伝票画面で入力した摘要
&lt;SHIYOUBI&gt;：伝票画面で入力した使用日
&lt;TORIHIKISAKI&gt;：伝票画面で入力した取引先名
&lt;KOUSAI_NUM&gt;：(交際費対象取引の場合のみ)交際費人数
&lt;KOUSAI_GAKU&gt;：(交際費対象取引の場合のみ)交際費一人あたりの金額</t>
    <phoneticPr fontId="5"/>
  </si>
  <si>
    <t>(仮払未使用)経費立替仮払相殺</t>
    <phoneticPr fontId="38"/>
  </si>
  <si>
    <t>shiwake_tekiyou_naiyou_A001_2</t>
  </si>
  <si>
    <t>&lt;USER&gt;  (仮払未使用)経費立替仮払相殺</t>
  </si>
  <si>
    <t>SHIWAKE_TEKIYOU_NAIYOU_A001_2</t>
  </si>
  <si>
    <t>&lt;USER&gt;：ユーザー名
&lt;SHIYOUSHA&gt;：伝票画面で入力した使用者</t>
    <phoneticPr fontId="5"/>
  </si>
  <si>
    <t>経費立替仮払残金</t>
    <phoneticPr fontId="38"/>
  </si>
  <si>
    <t>shiwake_tekiyou_naiyou_A001_3</t>
  </si>
  <si>
    <t>&lt;USER&gt;  経費立替仮払残金</t>
  </si>
  <si>
    <t>SHIWAKE_TEKIYOU_NAIYOU_A001_3</t>
  </si>
  <si>
    <t>経費伺い申請（仮払申請）</t>
    <rPh sb="0" eb="2">
      <t>ケイヒ</t>
    </rPh>
    <phoneticPr fontId="38"/>
  </si>
  <si>
    <t>shiwake_tekiyou_naiyou_A002</t>
  </si>
  <si>
    <t>&lt;USER&gt;  &lt;TEKIYOU&gt;</t>
  </si>
  <si>
    <t>SHIWAKE_TEKIYOU_NAIYOU_A002</t>
  </si>
  <si>
    <t>&lt;USER&gt;：ユーザー名
&lt;TORIHIKI&gt;：伝票画面で入力した取引名
&lt;TEKIYOU&gt;：伝票画面で入力した摘要</t>
  </si>
  <si>
    <t>請求書払い申請</t>
    <phoneticPr fontId="38"/>
  </si>
  <si>
    <t>shiwake_tekiyou_naiyou_A003</t>
  </si>
  <si>
    <t>SHIWAKE_TEKIYOU_NAIYOU_A003</t>
  </si>
  <si>
    <t>&lt;USER&gt;：ユーザー名
&lt;TORIHIKI&gt;：伝票画面で入力した取引名
&lt;TEKIYOU&gt;：伝票画面で入力した摘要
&lt;TORIHIKISAKI&gt;：伝票画面で入力した取引先名
&lt;KOUSAI_NUM&gt;：(交際費対象取引の場合のみ)交際費人数
&lt;KOUSAI_GAKU&gt;：(交際費対象取引の場合のみ)交際費一人あたりの金額</t>
    <rPh sb="83" eb="85">
      <t>トリヒキ</t>
    </rPh>
    <rPh sb="85" eb="86">
      <t>サキ</t>
    </rPh>
    <rPh sb="86" eb="87">
      <t>メイ</t>
    </rPh>
    <phoneticPr fontId="5"/>
  </si>
  <si>
    <t>shiwake_tekiyou_naiyou_A013</t>
    <phoneticPr fontId="5"/>
  </si>
  <si>
    <t>SHIWAKE_TEKIYOU_NAIYOU_A013</t>
    <phoneticPr fontId="5"/>
  </si>
  <si>
    <t>&lt;USER&gt;：ユーザー名
&lt;TORIHIKI&gt;：伝票画面で入力した取引名
&lt;TEKIYOU&gt;：伝票画面で入力した摘要
&lt;TORIHIKISAKI&gt;：伝票画面で入力した取引先名</t>
    <rPh sb="83" eb="85">
      <t>トリヒキ</t>
    </rPh>
    <rPh sb="85" eb="86">
      <t>サキ</t>
    </rPh>
    <rPh sb="86" eb="87">
      <t>メイ</t>
    </rPh>
    <phoneticPr fontId="5"/>
  </si>
  <si>
    <t>出張旅費精算</t>
    <phoneticPr fontId="38"/>
  </si>
  <si>
    <t>shiwake_tekiyou_naiyou_A004</t>
  </si>
  <si>
    <t>&lt;USER&gt;  &lt;SEISANEND&gt;  &lt;TEKIYOU&gt;</t>
    <phoneticPr fontId="5"/>
  </si>
  <si>
    <t>SHIWAKE_TEKIYOU_NAIYOU_A004</t>
  </si>
  <si>
    <t>&lt;USER&gt;：ユーザー名
&lt;SHIYOUSHA&gt;：伝票画面で入力した使用者
&lt;TORIHIKI&gt;：伝票画面で入力した取引名
&lt;TEKIYOU&gt;：伝票画面で入力した摘要
&lt;SEISANSTART&gt;：伝票画面で入力した精算期間開始日
&lt;SEISANEND&gt;：伝票画面で入力した精算期間終了日</t>
    <phoneticPr fontId="5"/>
  </si>
  <si>
    <t>出張旅費精算仮払相殺</t>
    <phoneticPr fontId="38"/>
  </si>
  <si>
    <t>shiwake_tekiyou_naiyou_A004_1</t>
  </si>
  <si>
    <t>&lt;USER&gt;  出張旅費精算仮払相殺</t>
  </si>
  <si>
    <t>SHIWAKE_TEKIYOU_NAIYOU_A004_1</t>
  </si>
  <si>
    <t>(仮払未使用)出張旅費精算仮払相殺</t>
    <phoneticPr fontId="38"/>
  </si>
  <si>
    <t>shiwake_tekiyou_naiyou_A004_2</t>
  </si>
  <si>
    <t>&lt;USER&gt;  (仮払未使用)出張旅費精算仮払相殺</t>
  </si>
  <si>
    <t>SHIWAKE_TEKIYOU_NAIYOU_A004_2</t>
  </si>
  <si>
    <t>出張旅費精算仮払残金</t>
    <phoneticPr fontId="38"/>
  </si>
  <si>
    <t>shiwake_tekiyou_naiyou_A004_3</t>
  </si>
  <si>
    <t>&lt;USER&gt;  出張旅費精算仮払残金</t>
  </si>
  <si>
    <t>SHIWAKE_TEKIYOU_NAIYOU_A004_3</t>
  </si>
  <si>
    <t>&lt;USER&gt;：ユーザー名
&lt;SHIYOUSHA&gt;：伝票画面で入力した使用者
&lt;TORIHIKI&gt;：伝票画面で入力した取引名
&lt;TEKIYOU&gt;：伝票画面で入力した摘要
&lt;SEISANEND&gt;：伝票画面で入力した精算期間終了日</t>
    <phoneticPr fontId="5"/>
  </si>
  <si>
    <t>shiwake_tekiyou_naiyou_A005</t>
  </si>
  <si>
    <t>SHIWAKE_TEKIYOU_NAIYOU_A005</t>
  </si>
  <si>
    <t>&lt;USER&gt;：ユーザー名
&lt;SHIYOUSHA&gt;：伝票画面で入力した使用者
&lt;TORIHIKI&gt;：伝票画面で入力した取引名
&lt;TEKIYOU&gt;：伝票画面で入力した摘要</t>
    <phoneticPr fontId="5"/>
  </si>
  <si>
    <t>海外出張旅費精算</t>
    <phoneticPr fontId="38"/>
  </si>
  <si>
    <t>shiwake_tekiyou_naiyou_A011</t>
  </si>
  <si>
    <t>SHIWAKE_TEKIYOU_NAIYOU_A011</t>
  </si>
  <si>
    <t>海外出張旅費精算仮払相殺</t>
    <phoneticPr fontId="38"/>
  </si>
  <si>
    <t>shiwake_tekiyou_naiyou_A011_1</t>
  </si>
  <si>
    <t>&lt;USER&gt;  海外出張旅費精算仮払相殺</t>
    <rPh sb="8" eb="10">
      <t>カイガイ</t>
    </rPh>
    <phoneticPr fontId="39"/>
  </si>
  <si>
    <t>SHIWAKE_TEKIYOU_NAIYOU_A011_1</t>
  </si>
  <si>
    <t>(仮払未使用)海外出張旅費精算仮払相殺</t>
    <phoneticPr fontId="38"/>
  </si>
  <si>
    <t>shiwake_tekiyou_naiyou_A011_2</t>
  </si>
  <si>
    <t>&lt;USER&gt;  (仮払未使用)海外出張旅費精算仮払相殺</t>
    <phoneticPr fontId="39"/>
  </si>
  <si>
    <t>SHIWAKE_TEKIYOU_NAIYOU_A011_2</t>
  </si>
  <si>
    <t>海外出張旅費精算仮払残金</t>
    <phoneticPr fontId="38"/>
  </si>
  <si>
    <t>shiwake_tekiyou_naiyou_A011_3</t>
  </si>
  <si>
    <t>&lt;USER&gt;  海外出張旅費精算仮払残金</t>
    <phoneticPr fontId="39"/>
  </si>
  <si>
    <t>SHIWAKE_TEKIYOU_NAIYOU_A011_3</t>
  </si>
  <si>
    <t>海外出張伺い申請（仮払申請）</t>
    <rPh sb="0" eb="2">
      <t>カイガイ</t>
    </rPh>
    <phoneticPr fontId="5"/>
  </si>
  <si>
    <t>shiwake_tekiyou_naiyou_A012</t>
  </si>
  <si>
    <t>SHIWAKE_TEKIYOU_NAIYOU_A012</t>
  </si>
  <si>
    <t>通勤定期申請</t>
    <phoneticPr fontId="5"/>
  </si>
  <si>
    <t>shiwake_tekiyou_naiyou_A006</t>
    <phoneticPr fontId="5"/>
  </si>
  <si>
    <t>&lt;USER&gt;  &lt;TORIHIKI&gt;</t>
    <phoneticPr fontId="5"/>
  </si>
  <si>
    <t>SHIWAKE_TEKIYOU_NAIYOU_A006</t>
  </si>
  <si>
    <t>自動引落伝票</t>
    <phoneticPr fontId="5"/>
  </si>
  <si>
    <t>shiwake_tekiyou_naiyou_A009</t>
  </si>
  <si>
    <t>SHIWAKE_TEKIYOU_NAIYOU_A009</t>
  </si>
  <si>
    <t>&lt;USER&gt;：ユーザー名
&lt;TORIHIKI&gt;：伝票画面で入力した取引名
&lt;TEKIYOU&gt;：伝票画面で入力した摘要
&lt;TORIHIKISAKI&gt;：伝票画面で入力した取引先名</t>
    <rPh sb="47" eb="49">
      <t>デンピョウ</t>
    </rPh>
    <rPh sb="49" eb="51">
      <t>ガメン</t>
    </rPh>
    <rPh sb="52" eb="54">
      <t>ニュウリョク</t>
    </rPh>
    <rPh sb="56" eb="58">
      <t>テキヨウ</t>
    </rPh>
    <phoneticPr fontId="5"/>
  </si>
  <si>
    <t>交通費精算</t>
    <phoneticPr fontId="38"/>
  </si>
  <si>
    <t>shiwake_tekiyou_naiyou_A010</t>
  </si>
  <si>
    <t>SHIWAKE_TEKIYOU_NAIYOU_A010</t>
    <phoneticPr fontId="5"/>
  </si>
  <si>
    <t>&lt;USER&gt;：ユーザー名
&lt;TORIHIKI&gt;：伝票画面で入力した取引名
&lt;TEKIYOU&gt;：伝票画面で入力した摘要
&lt;SEISANSTART&gt;：伝票画面で入力した精算期間開始日
&lt;SEISANEND&gt;：伝票画面で入力した精算期間終了日</t>
  </si>
  <si>
    <t>支払方法</t>
    <rPh sb="0" eb="2">
      <t>シハラ</t>
    </rPh>
    <rPh sb="2" eb="4">
      <t>ホウホウ</t>
    </rPh>
    <phoneticPr fontId="5"/>
  </si>
  <si>
    <t>支払方法(経費立替精算)</t>
    <phoneticPr fontId="5"/>
  </si>
  <si>
    <t>shiharai_houhou_A001</t>
    <phoneticPr fontId="5"/>
  </si>
  <si>
    <t>1,2</t>
  </si>
  <si>
    <t>(1|2|1,2|2,1)</t>
    <phoneticPr fontId="5"/>
  </si>
  <si>
    <t>SHIHARAI_HOUHOU_A001</t>
    <phoneticPr fontId="5"/>
  </si>
  <si>
    <t>支払金の支払方法を指定します。（複数指定する場合は、カンマ区切り）
1：現金
2：振込</t>
    <rPh sb="0" eb="2">
      <t>シハラ</t>
    </rPh>
    <phoneticPr fontId="5"/>
  </si>
  <si>
    <t>支払方法(経費伺い申請（仮払申請）)</t>
    <rPh sb="5" eb="7">
      <t>ケイヒ</t>
    </rPh>
    <phoneticPr fontId="5"/>
  </si>
  <si>
    <t>shiharai_houhou_A002</t>
  </si>
  <si>
    <t>SHIHARAI_HOUHOU_A002</t>
  </si>
  <si>
    <t>仮払金の支払方法を指定します。（複数指定する場合は、カンマ区切り）
1：現金
2：振込</t>
  </si>
  <si>
    <t>支払方法(海外出張旅費・出張旅費・交通費)</t>
    <phoneticPr fontId="5"/>
  </si>
  <si>
    <t>shiharai_houhou_A004</t>
  </si>
  <si>
    <t>SHIHARAI_HOUHOU_A004</t>
  </si>
  <si>
    <t>支払方法(海外出張伺い申請（仮払申請）・出張伺い申請（仮払申請）)</t>
    <phoneticPr fontId="5"/>
  </si>
  <si>
    <t>shiharai_houhou_A005</t>
  </si>
  <si>
    <t>SHIHARAI_HOUHOU_A005</t>
  </si>
  <si>
    <t>計上日・支払</t>
    <phoneticPr fontId="5"/>
  </si>
  <si>
    <t>請求書払い申請(計上日入力)</t>
    <rPh sb="3" eb="4">
      <t>ハラ</t>
    </rPh>
    <rPh sb="5" eb="7">
      <t>シンセイ</t>
    </rPh>
    <phoneticPr fontId="5"/>
  </si>
  <si>
    <t>seikyuu_keijou_nyuuryoku</t>
    <phoneticPr fontId="5"/>
  </si>
  <si>
    <t>SEIKYUU_KEIJOU_NYUUROHYKU</t>
    <phoneticPr fontId="5"/>
  </si>
  <si>
    <t>計上日を申請者が入力するかどうか。
0：経理権限のみ計上日を入力
1：申請者が計上日を入力</t>
    <rPh sb="0" eb="2">
      <t>ケイジョウ</t>
    </rPh>
    <rPh sb="2" eb="3">
      <t>ビ</t>
    </rPh>
    <rPh sb="4" eb="7">
      <t>シンセイシャ</t>
    </rPh>
    <rPh sb="8" eb="10">
      <t>ニュウリョク</t>
    </rPh>
    <phoneticPr fontId="5"/>
  </si>
  <si>
    <t>請求書払い申請(申請者の計上日制限)</t>
    <rPh sb="0" eb="3">
      <t>セイキュウショ</t>
    </rPh>
    <rPh sb="3" eb="4">
      <t>ハラ</t>
    </rPh>
    <rPh sb="5" eb="7">
      <t>シンセイ</t>
    </rPh>
    <phoneticPr fontId="5"/>
  </si>
  <si>
    <t>seikyuu_keijou_seigen</t>
    <phoneticPr fontId="5"/>
  </si>
  <si>
    <t>SEIKYUU_KEIJOU_SEIGEN</t>
    <phoneticPr fontId="5"/>
  </si>
  <si>
    <t>申請者が計上日を入力する場合、
申請者が入力した計上日を制限するかどうかを指定します。
0：しない
1：する
「する」の場合、請求書払い申請締メニューから計上日の締めを行うことができます。
申請者は締め日以前の計上日を入力することはできません。</t>
    <rPh sb="0" eb="3">
      <t>シンセイシャ</t>
    </rPh>
    <rPh sb="4" eb="6">
      <t>ケイジョウ</t>
    </rPh>
    <rPh sb="6" eb="7">
      <t>ビ</t>
    </rPh>
    <rPh sb="8" eb="10">
      <t>ニュウリョク</t>
    </rPh>
    <rPh sb="12" eb="14">
      <t>バアイ</t>
    </rPh>
    <rPh sb="20" eb="22">
      <t>ニュウリョク</t>
    </rPh>
    <rPh sb="24" eb="26">
      <t>ケイジョウ</t>
    </rPh>
    <rPh sb="26" eb="27">
      <t>ビ</t>
    </rPh>
    <rPh sb="28" eb="30">
      <t>セイゲン</t>
    </rPh>
    <rPh sb="37" eb="39">
      <t>シテイ</t>
    </rPh>
    <rPh sb="60" eb="62">
      <t>バアイ</t>
    </rPh>
    <rPh sb="77" eb="79">
      <t>ケイジョウ</t>
    </rPh>
    <rPh sb="79" eb="80">
      <t>ビ</t>
    </rPh>
    <rPh sb="81" eb="82">
      <t>シ</t>
    </rPh>
    <rPh sb="84" eb="85">
      <t>オコナ</t>
    </rPh>
    <rPh sb="95" eb="98">
      <t>シンセイシャ</t>
    </rPh>
    <rPh sb="99" eb="100">
      <t>シ</t>
    </rPh>
    <rPh sb="101" eb="102">
      <t>ビ</t>
    </rPh>
    <rPh sb="102" eb="104">
      <t>イゼン</t>
    </rPh>
    <rPh sb="105" eb="107">
      <t>ケイジョウ</t>
    </rPh>
    <rPh sb="107" eb="108">
      <t>ビ</t>
    </rPh>
    <rPh sb="109" eb="111">
      <t>ニュウリョク</t>
    </rPh>
    <phoneticPr fontId="5"/>
  </si>
  <si>
    <t>請求書払い申請(申請者の計上日入力)が「する」なら入力必須</t>
    <rPh sb="25" eb="27">
      <t>ニュウリョク</t>
    </rPh>
    <rPh sb="27" eb="29">
      <t>ヒッス</t>
    </rPh>
    <phoneticPr fontId="5"/>
  </si>
  <si>
    <t>請求書払い申請(取引先マスター参照)</t>
    <rPh sb="0" eb="3">
      <t>セイキュウショ</t>
    </rPh>
    <rPh sb="3" eb="4">
      <t>ハラ</t>
    </rPh>
    <rPh sb="5" eb="7">
      <t>シンセイ</t>
    </rPh>
    <phoneticPr fontId="5"/>
  </si>
  <si>
    <t>seikyuu_masref</t>
    <phoneticPr fontId="5"/>
  </si>
  <si>
    <t>SEIKYUU_MASREF</t>
    <phoneticPr fontId="5"/>
  </si>
  <si>
    <t>取引先マスター参照をデフォルトでチェックONにするか。
0：しない
1：する</t>
  </si>
  <si>
    <t>請求書払い申請（支払日一括登録）</t>
    <phoneticPr fontId="5"/>
  </si>
  <si>
    <t>seikyuu_shiharaibi_ikkatsu</t>
    <phoneticPr fontId="5"/>
  </si>
  <si>
    <t>SEIKYUU_SHIHARAIBI_IKKATSU</t>
    <phoneticPr fontId="5"/>
  </si>
  <si>
    <t>支払日を一括登録可能にするかどうかを指定します。
0：不可能
1：可能
2：取引先マスター参照がOFFの伝票のみ可能</t>
    <rPh sb="0" eb="3">
      <t>シハライビ</t>
    </rPh>
    <rPh sb="4" eb="6">
      <t>イッカツ</t>
    </rPh>
    <rPh sb="6" eb="8">
      <t>トウロク</t>
    </rPh>
    <rPh sb="8" eb="10">
      <t>カノウ</t>
    </rPh>
    <rPh sb="18" eb="20">
      <t>シテイ</t>
    </rPh>
    <rPh sb="27" eb="30">
      <t>フカノウ</t>
    </rPh>
    <rPh sb="33" eb="35">
      <t>カノウ</t>
    </rPh>
    <rPh sb="38" eb="40">
      <t>トリヒキ</t>
    </rPh>
    <rPh sb="40" eb="41">
      <t>サキ</t>
    </rPh>
    <rPh sb="45" eb="47">
      <t>サンショウ</t>
    </rPh>
    <rPh sb="52" eb="54">
      <t>デンピョウ</t>
    </rPh>
    <rPh sb="56" eb="58">
      <t>カノウ</t>
    </rPh>
    <phoneticPr fontId="5"/>
  </si>
  <si>
    <t>支払依頼申請(計上日制限)</t>
    <rPh sb="7" eb="10">
      <t>ケイジョウビ</t>
    </rPh>
    <rPh sb="10" eb="12">
      <t>セイゲン</t>
    </rPh>
    <phoneticPr fontId="5"/>
  </si>
  <si>
    <t>shiharaiirai_keijou_seigen</t>
    <phoneticPr fontId="5"/>
  </si>
  <si>
    <t>SHIHARAIIRAI_KEIJOU_SEIGEN</t>
    <phoneticPr fontId="5"/>
  </si>
  <si>
    <t>計上日を制限するかどうかを指定します。
0：しない
1：する
「する」の場合、支払依頼申請締メニューから計上日の締めを行うことができます。
締め日以前の計上日を入力することはできません。</t>
    <rPh sb="0" eb="2">
      <t>ケイジョウ</t>
    </rPh>
    <rPh sb="2" eb="3">
      <t>ビ</t>
    </rPh>
    <rPh sb="4" eb="6">
      <t>セイゲン</t>
    </rPh>
    <rPh sb="13" eb="15">
      <t>シテイ</t>
    </rPh>
    <rPh sb="36" eb="38">
      <t>バアイ</t>
    </rPh>
    <rPh sb="51" eb="53">
      <t>ケイジョウ</t>
    </rPh>
    <rPh sb="53" eb="54">
      <t>ビ</t>
    </rPh>
    <rPh sb="55" eb="56">
      <t>シ</t>
    </rPh>
    <rPh sb="58" eb="59">
      <t>オコナ</t>
    </rPh>
    <rPh sb="70" eb="71">
      <t>シ</t>
    </rPh>
    <rPh sb="71" eb="72">
      <t>ビ</t>
    </rPh>
    <rPh sb="72" eb="74">
      <t>イゼン</t>
    </rPh>
    <rPh sb="75" eb="77">
      <t>ケイジョウ</t>
    </rPh>
    <rPh sb="77" eb="78">
      <t>ビ</t>
    </rPh>
    <rPh sb="79" eb="81">
      <t>ニュウリョク</t>
    </rPh>
    <phoneticPr fontId="5"/>
  </si>
  <si>
    <t>支払依頼申請（支払日一括登録）</t>
    <rPh sb="0" eb="4">
      <t>シハライイライ</t>
    </rPh>
    <rPh sb="4" eb="6">
      <t>シンセイ</t>
    </rPh>
    <phoneticPr fontId="5"/>
  </si>
  <si>
    <t>shiharaiirai_shiharaibi_ikkatsu</t>
    <phoneticPr fontId="5"/>
  </si>
  <si>
    <t>SHIHARAIIRAI_SHIHARAIBI_IKKATSU</t>
    <phoneticPr fontId="5"/>
  </si>
  <si>
    <t>支払日を一括登録可能にするかどうかを指定します。
0：不可能
1：可能</t>
    <rPh sb="0" eb="3">
      <t>シハライビ</t>
    </rPh>
    <rPh sb="4" eb="6">
      <t>イッカツ</t>
    </rPh>
    <rPh sb="6" eb="8">
      <t>トウロク</t>
    </rPh>
    <rPh sb="8" eb="10">
      <t>カノウ</t>
    </rPh>
    <rPh sb="18" eb="20">
      <t>シテイ</t>
    </rPh>
    <rPh sb="27" eb="30">
      <t>フカノウ</t>
    </rPh>
    <rPh sb="33" eb="35">
      <t>カノウ</t>
    </rPh>
    <phoneticPr fontId="5"/>
  </si>
  <si>
    <t>自動引落伝票(計上日入力)</t>
    <rPh sb="0" eb="2">
      <t>ジドウ</t>
    </rPh>
    <rPh sb="2" eb="4">
      <t>ヒキオトシ</t>
    </rPh>
    <rPh sb="4" eb="6">
      <t>デンピョウ</t>
    </rPh>
    <phoneticPr fontId="5"/>
  </si>
  <si>
    <t>jidouhiki_keijou_nyuuryoku</t>
    <phoneticPr fontId="5"/>
  </si>
  <si>
    <t>JIDOUHIKI_KEIJOU_NYUUROHYKU</t>
    <phoneticPr fontId="5"/>
  </si>
  <si>
    <t>自動引落伝票(申請者の計上日制限)</t>
    <rPh sb="0" eb="2">
      <t>ジドウ</t>
    </rPh>
    <rPh sb="2" eb="4">
      <t>ヒキオトシ</t>
    </rPh>
    <rPh sb="4" eb="6">
      <t>デンピョウ</t>
    </rPh>
    <phoneticPr fontId="5"/>
  </si>
  <si>
    <t>jidouhiki_keijou_seigen</t>
    <phoneticPr fontId="5"/>
  </si>
  <si>
    <t>JIDOUHIKI_KEIJOU_SEIGEN</t>
    <phoneticPr fontId="5"/>
  </si>
  <si>
    <t>申請者が計上日を入力する場合、
申請者が入力した計上日を制限するかどうかを指定します。
0：しない
1：する
「する」の場合、自動引落伝票締メニューから計上日の締めを行うことができます。
申請者は締め日以前の計上日を入力することはできません。</t>
    <rPh sb="20" eb="22">
      <t>ニュウリョク</t>
    </rPh>
    <rPh sb="24" eb="26">
      <t>ケイジョウ</t>
    </rPh>
    <rPh sb="26" eb="27">
      <t>ビ</t>
    </rPh>
    <rPh sb="28" eb="30">
      <t>セイゲン</t>
    </rPh>
    <rPh sb="37" eb="39">
      <t>シテイ</t>
    </rPh>
    <rPh sb="60" eb="62">
      <t>バアイ</t>
    </rPh>
    <rPh sb="76" eb="78">
      <t>ケイジョウ</t>
    </rPh>
    <rPh sb="78" eb="79">
      <t>ビ</t>
    </rPh>
    <rPh sb="80" eb="81">
      <t>シ</t>
    </rPh>
    <rPh sb="83" eb="84">
      <t>オコナ</t>
    </rPh>
    <rPh sb="94" eb="97">
      <t>シンセイシャ</t>
    </rPh>
    <rPh sb="98" eb="99">
      <t>シ</t>
    </rPh>
    <rPh sb="100" eb="101">
      <t>ビ</t>
    </rPh>
    <rPh sb="101" eb="103">
      <t>イゼン</t>
    </rPh>
    <rPh sb="104" eb="106">
      <t>ケイジョウ</t>
    </rPh>
    <rPh sb="106" eb="107">
      <t>ビ</t>
    </rPh>
    <rPh sb="108" eb="110">
      <t>ニュウリョク</t>
    </rPh>
    <phoneticPr fontId="5"/>
  </si>
  <si>
    <t>自動引落伝票(申請者の計上日入力)が「する」なら入力必須</t>
    <rPh sb="24" eb="26">
      <t>ニュウリョク</t>
    </rPh>
    <rPh sb="26" eb="28">
      <t>ヒッス</t>
    </rPh>
    <phoneticPr fontId="5"/>
  </si>
  <si>
    <t>経費立替精算(計上日入力)</t>
    <rPh sb="7" eb="9">
      <t>ケイジョウ</t>
    </rPh>
    <rPh sb="9" eb="10">
      <t>ビ</t>
    </rPh>
    <rPh sb="10" eb="12">
      <t>ニュウリョク</t>
    </rPh>
    <phoneticPr fontId="5"/>
  </si>
  <si>
    <t>keijoubi_default_A001</t>
    <phoneticPr fontId="5"/>
  </si>
  <si>
    <r>
      <t>(</t>
    </r>
    <r>
      <rPr>
        <sz val="11"/>
        <rFont val="ＭＳ Ｐゴシック"/>
        <family val="3"/>
        <charset val="128"/>
      </rPr>
      <t>0|1|2|3)</t>
    </r>
    <phoneticPr fontId="5"/>
  </si>
  <si>
    <t>KEIJOUBI_DEFAULT_A001</t>
    <phoneticPr fontId="5"/>
  </si>
  <si>
    <t>計上日を申請者が入力するかどうか。
0：経理権限のみ計上日を入力(デフォルトなし)
1：経理権限のみ計上日を入力(デフォルト使用日)
2：経理権限のみ計上日を入力(デフォルト申請日)
3：申請者が計上日を入力</t>
    <rPh sb="62" eb="64">
      <t>シヨウ</t>
    </rPh>
    <rPh sb="64" eb="65">
      <t>ビ</t>
    </rPh>
    <rPh sb="87" eb="90">
      <t>シンセイビ</t>
    </rPh>
    <phoneticPr fontId="5"/>
  </si>
  <si>
    <t>経費立替精算(申請者の計上日制限)</t>
    <phoneticPr fontId="5"/>
  </si>
  <si>
    <t>keihiseisan_keijou_seigen</t>
    <phoneticPr fontId="5"/>
  </si>
  <si>
    <t>KEIHISEISAN_KEIJOU_SEIGEN</t>
    <phoneticPr fontId="5"/>
  </si>
  <si>
    <t>申請者が計上日を入力する場合、
申請者が入力した計上日を制限するかどうかを指定します。
0：しない
1：する
「する」の場合、経費立替精算締メニューから計上日の締めを行うことができます。
申請者は締め日以前の計上日を入力することはできません。</t>
    <rPh sb="12" eb="14">
      <t>バアイ</t>
    </rPh>
    <rPh sb="20" eb="22">
      <t>ニュウリョク</t>
    </rPh>
    <rPh sb="24" eb="26">
      <t>ケイジョウ</t>
    </rPh>
    <rPh sb="26" eb="27">
      <t>ビ</t>
    </rPh>
    <rPh sb="28" eb="30">
      <t>セイゲン</t>
    </rPh>
    <rPh sb="37" eb="39">
      <t>シテイ</t>
    </rPh>
    <rPh sb="60" eb="62">
      <t>バアイ</t>
    </rPh>
    <rPh sb="63" eb="65">
      <t>ケイヒ</t>
    </rPh>
    <rPh sb="65" eb="67">
      <t>タテカエ</t>
    </rPh>
    <rPh sb="67" eb="69">
      <t>セイサン</t>
    </rPh>
    <rPh sb="76" eb="78">
      <t>ケイジョウ</t>
    </rPh>
    <rPh sb="78" eb="79">
      <t>ビ</t>
    </rPh>
    <rPh sb="80" eb="81">
      <t>シ</t>
    </rPh>
    <rPh sb="83" eb="84">
      <t>オコナ</t>
    </rPh>
    <rPh sb="94" eb="97">
      <t>シンセイシャ</t>
    </rPh>
    <rPh sb="98" eb="99">
      <t>シ</t>
    </rPh>
    <rPh sb="100" eb="101">
      <t>ビ</t>
    </rPh>
    <rPh sb="101" eb="103">
      <t>イゼン</t>
    </rPh>
    <rPh sb="104" eb="106">
      <t>ケイジョウ</t>
    </rPh>
    <rPh sb="106" eb="107">
      <t>ビ</t>
    </rPh>
    <rPh sb="108" eb="110">
      <t>ニュウリョク</t>
    </rPh>
    <phoneticPr fontId="5"/>
  </si>
  <si>
    <t>計上日デフォルト設定(経費立替精算)が3なら入力必須</t>
    <rPh sb="22" eb="24">
      <t>ニュウリョク</t>
    </rPh>
    <rPh sb="24" eb="26">
      <t>ヒッス</t>
    </rPh>
    <phoneticPr fontId="5"/>
  </si>
  <si>
    <t>出張旅費精算(計上日入力)</t>
    <rPh sb="7" eb="9">
      <t>ケイジョウ</t>
    </rPh>
    <rPh sb="9" eb="10">
      <t>ビ</t>
    </rPh>
    <rPh sb="10" eb="12">
      <t>ニュウリョク</t>
    </rPh>
    <phoneticPr fontId="5"/>
  </si>
  <si>
    <t>keijoubi_default_A004</t>
    <phoneticPr fontId="5"/>
  </si>
  <si>
    <t>KEIJOUBI_DEFAULT_A004</t>
    <phoneticPr fontId="5"/>
  </si>
  <si>
    <t>計上日を申請者が入力するかどうか。
0：経理権限のみ計上日を入力(デフォルトなし)
1：経理権限のみ計上日を入力(デフォルト精算期間終了日)
2：経理権限のみ計上日を入力(デフォルト申請日)
3：申請者が計上日を入力</t>
    <rPh sb="62" eb="64">
      <t>セイサン</t>
    </rPh>
    <rPh sb="64" eb="66">
      <t>キカン</t>
    </rPh>
    <rPh sb="66" eb="69">
      <t>シュウリョウビ</t>
    </rPh>
    <phoneticPr fontId="5"/>
  </si>
  <si>
    <t>出張旅費精算(申請者の計上日制限)</t>
    <phoneticPr fontId="5"/>
  </si>
  <si>
    <t>ryohiseisan_keijou_seigen</t>
    <phoneticPr fontId="5"/>
  </si>
  <si>
    <t>RYOHISEISAN_KEIJOU_SEIGEN</t>
    <phoneticPr fontId="5"/>
  </si>
  <si>
    <t>申請者が計上日を入力する場合、
申請者が入力した計上日を制限するかどうかを指定します。
0：しない
1：する
「する」の場合、出張旅費精算締メニューから計上日の締めを行うことができます。
申請者は締め日以前の計上日を入力することはできません。</t>
    <rPh sb="12" eb="14">
      <t>バアイ</t>
    </rPh>
    <rPh sb="20" eb="22">
      <t>ニュウリョク</t>
    </rPh>
    <rPh sb="24" eb="26">
      <t>ケイジョウ</t>
    </rPh>
    <rPh sb="26" eb="27">
      <t>ビ</t>
    </rPh>
    <rPh sb="28" eb="30">
      <t>セイゲン</t>
    </rPh>
    <rPh sb="37" eb="39">
      <t>シテイ</t>
    </rPh>
    <rPh sb="60" eb="62">
      <t>バアイ</t>
    </rPh>
    <rPh sb="63" eb="65">
      <t>シュッチョウ</t>
    </rPh>
    <rPh sb="76" eb="78">
      <t>ケイジョウ</t>
    </rPh>
    <rPh sb="78" eb="79">
      <t>ビ</t>
    </rPh>
    <rPh sb="80" eb="81">
      <t>シ</t>
    </rPh>
    <rPh sb="83" eb="84">
      <t>オコナ</t>
    </rPh>
    <rPh sb="94" eb="97">
      <t>シンセイシャ</t>
    </rPh>
    <rPh sb="98" eb="99">
      <t>シ</t>
    </rPh>
    <rPh sb="100" eb="101">
      <t>ビ</t>
    </rPh>
    <rPh sb="101" eb="103">
      <t>イゼン</t>
    </rPh>
    <rPh sb="104" eb="106">
      <t>ケイジョウ</t>
    </rPh>
    <rPh sb="106" eb="107">
      <t>ビ</t>
    </rPh>
    <rPh sb="108" eb="110">
      <t>ニュウリョク</t>
    </rPh>
    <phoneticPr fontId="5"/>
  </si>
  <si>
    <t>計上日デフォルト設定(出張旅費精算)が3なら入力必須</t>
    <rPh sb="22" eb="24">
      <t>ニュウリョク</t>
    </rPh>
    <rPh sb="24" eb="26">
      <t>ヒッス</t>
    </rPh>
    <phoneticPr fontId="5"/>
  </si>
  <si>
    <t>海外出張旅費精算(計上日入力)</t>
    <rPh sb="9" eb="11">
      <t>ケイジョウ</t>
    </rPh>
    <rPh sb="11" eb="12">
      <t>ビ</t>
    </rPh>
    <rPh sb="12" eb="14">
      <t>ニュウリョク</t>
    </rPh>
    <phoneticPr fontId="5"/>
  </si>
  <si>
    <t>keijoubi_default_A011</t>
    <phoneticPr fontId="5"/>
  </si>
  <si>
    <t>KEIJOUBI_DEFAULT_A011</t>
    <phoneticPr fontId="5"/>
  </si>
  <si>
    <t>海外出張旅費精算(申請者の計上日制限)</t>
    <rPh sb="0" eb="2">
      <t>カイガイ</t>
    </rPh>
    <phoneticPr fontId="5"/>
  </si>
  <si>
    <t>kaigairyohiseisan_keijou_seigen</t>
    <phoneticPr fontId="5"/>
  </si>
  <si>
    <t>KAIGAIRYOHISEISAN_KEIJOU_SEIGEN</t>
    <phoneticPr fontId="5"/>
  </si>
  <si>
    <t>申請者が計上日を入力する場合、
申請者が入力した計上日を制限するかどうかを指定します。
0：しない
1：する
「する」の場合、海外出張旅費精算締メニューから計上日の締めを行うことができます。
申請者は締め日以前の計上日を入力することはできません。</t>
    <rPh sb="12" eb="14">
      <t>バアイ</t>
    </rPh>
    <rPh sb="20" eb="22">
      <t>ニュウリョク</t>
    </rPh>
    <rPh sb="24" eb="26">
      <t>ケイジョウ</t>
    </rPh>
    <rPh sb="26" eb="27">
      <t>ビ</t>
    </rPh>
    <rPh sb="28" eb="30">
      <t>セイゲン</t>
    </rPh>
    <rPh sb="37" eb="39">
      <t>シテイ</t>
    </rPh>
    <rPh sb="60" eb="62">
      <t>バアイ</t>
    </rPh>
    <rPh sb="65" eb="67">
      <t>シュッチョウ</t>
    </rPh>
    <rPh sb="78" eb="80">
      <t>ケイジョウ</t>
    </rPh>
    <rPh sb="80" eb="81">
      <t>ビ</t>
    </rPh>
    <rPh sb="82" eb="83">
      <t>シ</t>
    </rPh>
    <rPh sb="85" eb="86">
      <t>オコナ</t>
    </rPh>
    <rPh sb="96" eb="99">
      <t>シンセイシャ</t>
    </rPh>
    <rPh sb="100" eb="101">
      <t>シ</t>
    </rPh>
    <rPh sb="102" eb="103">
      <t>ビ</t>
    </rPh>
    <rPh sb="103" eb="105">
      <t>イゼン</t>
    </rPh>
    <rPh sb="106" eb="108">
      <t>ケイジョウ</t>
    </rPh>
    <rPh sb="108" eb="109">
      <t>ビ</t>
    </rPh>
    <rPh sb="110" eb="112">
      <t>ニュウリョク</t>
    </rPh>
    <phoneticPr fontId="5"/>
  </si>
  <si>
    <t>計上日デフォルト設定(海外出張旅費精算)が3なら入力必須</t>
    <rPh sb="24" eb="26">
      <t>ニュウリョク</t>
    </rPh>
    <rPh sb="26" eb="28">
      <t>ヒッス</t>
    </rPh>
    <phoneticPr fontId="5"/>
  </si>
  <si>
    <t>交通費精算(計上日入力)</t>
    <rPh sb="6" eb="8">
      <t>ケイジョウ</t>
    </rPh>
    <rPh sb="8" eb="9">
      <t>ビ</t>
    </rPh>
    <rPh sb="9" eb="11">
      <t>ニュウリョク</t>
    </rPh>
    <phoneticPr fontId="5"/>
  </si>
  <si>
    <t>keijoubi_default_A010</t>
    <phoneticPr fontId="5"/>
  </si>
  <si>
    <t>KEIJOUBI_DEFAULT_A010</t>
    <phoneticPr fontId="5"/>
  </si>
  <si>
    <t>計上日を申請者が入力するかどうか。
0：経理権限のみ計上日を入力(デフォルトなし)
1：経理権限のみ計上日を入力(精算期間終了日)
2：経理権限のみ計上日を入力(申請日)
3：申請者が計上日を入力</t>
    <rPh sb="0" eb="3">
      <t>ケイジョウビ</t>
    </rPh>
    <rPh sb="4" eb="6">
      <t>シンセイ</t>
    </rPh>
    <rPh sb="6" eb="7">
      <t>シャ</t>
    </rPh>
    <rPh sb="8" eb="10">
      <t>ニュウリョク</t>
    </rPh>
    <rPh sb="57" eb="59">
      <t>セイサン</t>
    </rPh>
    <rPh sb="59" eb="61">
      <t>キカン</t>
    </rPh>
    <rPh sb="61" eb="64">
      <t>シュウリョウビ</t>
    </rPh>
    <phoneticPr fontId="5"/>
  </si>
  <si>
    <t>交通費精算(申請者の計上日制限)</t>
    <rPh sb="0" eb="3">
      <t>コウツウヒ</t>
    </rPh>
    <phoneticPr fontId="5"/>
  </si>
  <si>
    <t>koutsuuhiseisan_keijou_seigen</t>
    <phoneticPr fontId="5"/>
  </si>
  <si>
    <t>KOUTSUUHISEISAN_KEIJOU_SEIGEN</t>
    <phoneticPr fontId="5"/>
  </si>
  <si>
    <t>申請者が計上日を入力する場合、
申請者が入力した計上日を制限するかどうかを指定します。
0：しない
1：する
「する」の場合、交通費精算締メニューから計上日の締めを行うことができます。
申請者は締め日以前の計上日を入力することはできません。</t>
    <rPh sb="12" eb="14">
      <t>バアイ</t>
    </rPh>
    <rPh sb="20" eb="22">
      <t>ニュウリョク</t>
    </rPh>
    <rPh sb="24" eb="26">
      <t>ケイジョウ</t>
    </rPh>
    <rPh sb="26" eb="27">
      <t>ビ</t>
    </rPh>
    <rPh sb="28" eb="30">
      <t>セイゲン</t>
    </rPh>
    <rPh sb="37" eb="39">
      <t>シテイ</t>
    </rPh>
    <rPh sb="60" eb="62">
      <t>バアイ</t>
    </rPh>
    <rPh sb="75" eb="77">
      <t>ケイジョウ</t>
    </rPh>
    <rPh sb="77" eb="78">
      <t>ビ</t>
    </rPh>
    <rPh sb="79" eb="80">
      <t>シ</t>
    </rPh>
    <rPh sb="82" eb="83">
      <t>オコナ</t>
    </rPh>
    <rPh sb="93" eb="96">
      <t>シンセイシャ</t>
    </rPh>
    <rPh sb="97" eb="98">
      <t>シ</t>
    </rPh>
    <rPh sb="99" eb="100">
      <t>ビ</t>
    </rPh>
    <rPh sb="100" eb="102">
      <t>イゼン</t>
    </rPh>
    <rPh sb="103" eb="105">
      <t>ケイジョウ</t>
    </rPh>
    <rPh sb="105" eb="106">
      <t>ビ</t>
    </rPh>
    <rPh sb="107" eb="109">
      <t>ニュウリョク</t>
    </rPh>
    <phoneticPr fontId="5"/>
  </si>
  <si>
    <t>計上日デフォルト設定(交通費精算)が3なら入力必須</t>
    <rPh sb="21" eb="23">
      <t>ニュウリョク</t>
    </rPh>
    <rPh sb="23" eb="25">
      <t>ヒッス</t>
    </rPh>
    <phoneticPr fontId="5"/>
  </si>
  <si>
    <t>計上日入力</t>
    <phoneticPr fontId="5"/>
  </si>
  <si>
    <t>keijou_nyuuryoku</t>
    <phoneticPr fontId="5"/>
  </si>
  <si>
    <t>KEIJOU_NYUURYOKU</t>
    <phoneticPr fontId="5"/>
  </si>
  <si>
    <t>計上日の入力方法を指定します。
1：手入力
2：プルダウン選択</t>
    <rPh sb="0" eb="2">
      <t>ケイジョウ</t>
    </rPh>
    <rPh sb="2" eb="3">
      <t>ビ</t>
    </rPh>
    <rPh sb="4" eb="8">
      <t>ニュウリョクホウホウ</t>
    </rPh>
    <rPh sb="9" eb="11">
      <t>シテイ</t>
    </rPh>
    <phoneticPr fontId="5"/>
  </si>
  <si>
    <t>計上日範囲・前(請求書払い申請)</t>
  </si>
  <si>
    <t>keijou_hani_mae_A003</t>
  </si>
  <si>
    <t>(0|[1-9]\d{0,1})</t>
    <phoneticPr fontId="5"/>
  </si>
  <si>
    <t>KEIJOU_HANI_MAE_A003</t>
  </si>
  <si>
    <t>計上日を何ヶ月前まで指定できるかを設定します。
0～99の範囲で設定してください。</t>
    <phoneticPr fontId="5"/>
  </si>
  <si>
    <t>計上日範囲・後(請求書払い申請)</t>
  </si>
  <si>
    <t>keijou_hani_ato_A003</t>
  </si>
  <si>
    <t>KEIJOU_HANI_ATO_A003</t>
  </si>
  <si>
    <t>計上日を何ヶ月後まで指定できるかを設定します。
0～99の範囲で設定してください。</t>
    <rPh sb="7" eb="8">
      <t>アト</t>
    </rPh>
    <phoneticPr fontId="5"/>
  </si>
  <si>
    <t>計上日範囲・前(支払依頼申請)</t>
    <phoneticPr fontId="5"/>
  </si>
  <si>
    <t>keijou_hani_mae_A013</t>
    <phoneticPr fontId="5"/>
  </si>
  <si>
    <t>KEIJOU_HANI_MAE_A013</t>
    <phoneticPr fontId="5"/>
  </si>
  <si>
    <t>計上日範囲・後(支払依頼申請)</t>
    <phoneticPr fontId="5"/>
  </si>
  <si>
    <t>keijou_hani_ato_A013</t>
    <phoneticPr fontId="5"/>
  </si>
  <si>
    <t>KEIJOU_HANI_ATO_A013</t>
    <phoneticPr fontId="5"/>
  </si>
  <si>
    <t>計上日範囲・前(自動引落伝票)</t>
    <phoneticPr fontId="5"/>
  </si>
  <si>
    <t>keijou_hani_mae_A009</t>
    <phoneticPr fontId="5"/>
  </si>
  <si>
    <t>KEIJOU_HANI_MAE_A009</t>
    <phoneticPr fontId="5"/>
  </si>
  <si>
    <t>計上日範囲・後(自動引落伝票)</t>
    <phoneticPr fontId="5"/>
  </si>
  <si>
    <t>keijou_hani_ato_A009</t>
    <phoneticPr fontId="5"/>
  </si>
  <si>
    <t>KEIJOU_HANI_ATO_A009</t>
    <phoneticPr fontId="5"/>
  </si>
  <si>
    <t>計上日範囲・前(経費立替精算)</t>
    <phoneticPr fontId="5"/>
  </si>
  <si>
    <t>keijou_hani_mae_A001</t>
    <phoneticPr fontId="5"/>
  </si>
  <si>
    <t>KEIJOU_HANI_MAE_A001</t>
  </si>
  <si>
    <t>計上日範囲・後(経費立替精算)</t>
  </si>
  <si>
    <t>keijou_hani_ato_A001</t>
    <phoneticPr fontId="5"/>
  </si>
  <si>
    <t>KEIJOU_HANI_ATO_A001</t>
  </si>
  <si>
    <t>計上日範囲・前(出張旅費精算)</t>
  </si>
  <si>
    <t>keijou_hani_mae_A004</t>
  </si>
  <si>
    <t>KEIJOU_HANI_MAE_A004</t>
  </si>
  <si>
    <t>計上日範囲・後(出張旅費精算)</t>
  </si>
  <si>
    <t>keijou_hani_ato_A004</t>
  </si>
  <si>
    <t>KEIJOU_HANI_ATO_A004</t>
  </si>
  <si>
    <t>計上日範囲・前(海外出張旅費精算)</t>
  </si>
  <si>
    <t>keijou_hani_mae_A011</t>
  </si>
  <si>
    <t>KEIJOU_HANI_MAE_A011</t>
  </si>
  <si>
    <t>計上日範囲・後(海外出張旅費精算)</t>
  </si>
  <si>
    <t>keijou_hani_ato_A011</t>
  </si>
  <si>
    <t>KEIJOU_HANI_ATO_A011</t>
  </si>
  <si>
    <t>計上日範囲・前(交通費精算)</t>
  </si>
  <si>
    <t>keijou_hani_mae_A010</t>
  </si>
  <si>
    <t>KEIJOU_HANI_MAE_A010</t>
  </si>
  <si>
    <t>計上日範囲・後(交通費精算)</t>
  </si>
  <si>
    <t>keijou_hani_ato_A010</t>
  </si>
  <si>
    <t>KEIJOU_HANI_ATO_A010</t>
  </si>
  <si>
    <t>振込日ルール適用</t>
    <rPh sb="6" eb="8">
      <t>テキヨウ</t>
    </rPh>
    <phoneticPr fontId="5"/>
  </si>
  <si>
    <t>furikomi_rule_A001</t>
    <phoneticPr fontId="5"/>
  </si>
  <si>
    <t>FURIKOMI_RULE_A001</t>
  </si>
  <si>
    <t>経費立替精算を、振込日ルールマスターによる振込日自動決定の対象とするかどうか。
0：対象としない
1：対象とする（日付指定）
2：対象とする（曜日指定）</t>
    <rPh sb="8" eb="11">
      <t>フリコミビ</t>
    </rPh>
    <rPh sb="21" eb="24">
      <t>フリコミビ</t>
    </rPh>
    <rPh sb="24" eb="26">
      <t>ジドウ</t>
    </rPh>
    <rPh sb="26" eb="28">
      <t>ケッテイ</t>
    </rPh>
    <rPh sb="29" eb="31">
      <t>タイショウ</t>
    </rPh>
    <rPh sb="57" eb="59">
      <t>ヒヅケ</t>
    </rPh>
    <rPh sb="59" eb="61">
      <t>シテイ</t>
    </rPh>
    <rPh sb="65" eb="67">
      <t>タイショウ</t>
    </rPh>
    <rPh sb="71" eb="73">
      <t>ヨウビ</t>
    </rPh>
    <rPh sb="73" eb="75">
      <t>シテイ</t>
    </rPh>
    <phoneticPr fontId="5"/>
  </si>
  <si>
    <t>furikomi_rule_A002</t>
    <phoneticPr fontId="5"/>
  </si>
  <si>
    <t>FURIKOMI_RULE_A002</t>
  </si>
  <si>
    <t>経費伺い申請（仮払申請）を、振込日ルールマスターによる振込日自動決定の対象とするかどうか。
0：対象としない
1：対象とする（日付指定）
2：対象とする（曜日指定）</t>
    <rPh sb="14" eb="17">
      <t>フリコミビ</t>
    </rPh>
    <phoneticPr fontId="5"/>
  </si>
  <si>
    <t>出張旅費精算</t>
    <phoneticPr fontId="5"/>
  </si>
  <si>
    <t>furikomi_rule_A004</t>
    <phoneticPr fontId="5"/>
  </si>
  <si>
    <t>FURIKOMI_RULE_A004</t>
  </si>
  <si>
    <t>出張旅費精算を、振込日ルールマスターによる振込日自動決定の対象とするかどうか。
0：対象としない
1：対象とする（日付指定）
2：対象とする（曜日指定）</t>
    <rPh sb="8" eb="11">
      <t>フリコミビ</t>
    </rPh>
    <phoneticPr fontId="5"/>
  </si>
  <si>
    <t>furikomi_rule_A005</t>
    <phoneticPr fontId="5"/>
  </si>
  <si>
    <t>FURIKOMI_RULE_A005</t>
  </si>
  <si>
    <t>出張伺い申請（仮払申請）を、振込日ルールマスターによる振込日自動決定の対象とするかどうか。
0：対象としない
1：対象とする（日付指定）
2：対象とする（曜日指定）</t>
    <rPh sb="14" eb="17">
      <t>フリコミビ</t>
    </rPh>
    <phoneticPr fontId="5"/>
  </si>
  <si>
    <t>海外出張旅費精算</t>
    <rPh sb="0" eb="2">
      <t>カイガイ</t>
    </rPh>
    <phoneticPr fontId="5"/>
  </si>
  <si>
    <t>furikomi_rule_A011</t>
    <phoneticPr fontId="5"/>
  </si>
  <si>
    <t>FURIKOMI_RULE_A011</t>
    <phoneticPr fontId="39"/>
  </si>
  <si>
    <t>海外出張旅費精算を、振込日ルールマスターによる振込日自動決定の対象とするかどうか。
0：対象としない
1：対象とする（日付指定）
2：対象とする（曜日指定）</t>
    <rPh sb="0" eb="2">
      <t>カイガイ</t>
    </rPh>
    <rPh sb="10" eb="13">
      <t>フリコミビ</t>
    </rPh>
    <phoneticPr fontId="5"/>
  </si>
  <si>
    <t>furikomi_rule_A012</t>
    <phoneticPr fontId="5"/>
  </si>
  <si>
    <t>FURIKOMI_RULE_A012</t>
    <phoneticPr fontId="39"/>
  </si>
  <si>
    <t>海外出張伺い申請（仮払申請）を、振込日ルールマスターによる振込日自動決定の対象とするかどうか。
0：対象としない
1：対象とする（日付指定）
2：対象とする（曜日指定）</t>
    <rPh sb="16" eb="19">
      <t>フリコミビ</t>
    </rPh>
    <phoneticPr fontId="5"/>
  </si>
  <si>
    <t>交通費精算</t>
    <phoneticPr fontId="5"/>
  </si>
  <si>
    <t>furikomi_rule_A010</t>
    <phoneticPr fontId="5"/>
  </si>
  <si>
    <t>FURIKOMI_RULE_A010</t>
  </si>
  <si>
    <t>交通費精算を、振込日ルールマスターによる振込日自動決定の対象とするかどうか。
0：対象としない
1：対象とする（日付指定）
2：対象とする（曜日指定）</t>
    <rPh sb="7" eb="10">
      <t>フリコミビ</t>
    </rPh>
    <phoneticPr fontId="5"/>
  </si>
  <si>
    <t>furikomi_rule_A006</t>
    <phoneticPr fontId="5"/>
  </si>
  <si>
    <t>FURIKOMI_RULE_A006</t>
  </si>
  <si>
    <t>通勤定期申請を、振込日ルールマスターによる振込日自動決定の対象とするかどうか。
0：対象としない
1：対象とする（日付指定）
2：対象とする（曜日指定）</t>
    <rPh sb="8" eb="11">
      <t>フリコミビ</t>
    </rPh>
    <phoneticPr fontId="5"/>
  </si>
  <si>
    <t>帳票</t>
    <rPh sb="0" eb="2">
      <t>チョウヒョウ</t>
    </rPh>
    <phoneticPr fontId="5"/>
  </si>
  <si>
    <t>押印枠　出力形式</t>
    <rPh sb="0" eb="2">
      <t>オウイン</t>
    </rPh>
    <rPh sb="2" eb="3">
      <t>ワク</t>
    </rPh>
    <rPh sb="4" eb="6">
      <t>シュツリョク</t>
    </rPh>
    <rPh sb="6" eb="8">
      <t>ケイシキ</t>
    </rPh>
    <phoneticPr fontId="5"/>
  </si>
  <si>
    <t>ouin_format</t>
    <phoneticPr fontId="5"/>
  </si>
  <si>
    <r>
      <t>([0-8]|</t>
    </r>
    <r>
      <rPr>
        <sz val="11"/>
        <rFont val="ＭＳ Ｐゴシック"/>
        <family val="3"/>
        <charset val="128"/>
      </rPr>
      <t>[W]|[X])</t>
    </r>
    <phoneticPr fontId="5"/>
  </si>
  <si>
    <t>OUIN_FORMAT</t>
    <phoneticPr fontId="5"/>
  </si>
  <si>
    <t>押印枠の表示数を決定する。
0：押印枠非表示。
1～8：指定個数分の押印枠を表示。
X：申請者+承認者の数だけ押印枠を表示。ただし最大8枠まで。
W：合議部署を含めたすべての承認者分の押印枠を表示。</t>
    <rPh sb="34" eb="36">
      <t>オウイン</t>
    </rPh>
    <rPh sb="36" eb="37">
      <t>ワク</t>
    </rPh>
    <rPh sb="55" eb="57">
      <t>オウイン</t>
    </rPh>
    <rPh sb="57" eb="58">
      <t>ワク</t>
    </rPh>
    <rPh sb="59" eb="61">
      <t>ヒョウジ</t>
    </rPh>
    <rPh sb="90" eb="91">
      <t>ブン</t>
    </rPh>
    <rPh sb="92" eb="94">
      <t>オウイン</t>
    </rPh>
    <rPh sb="94" eb="95">
      <t>ワク</t>
    </rPh>
    <rPh sb="96" eb="98">
      <t>ヒョウジ</t>
    </rPh>
    <phoneticPr fontId="5"/>
  </si>
  <si>
    <t>押印枠　表示内容</t>
    <rPh sb="0" eb="2">
      <t>オウイン</t>
    </rPh>
    <rPh sb="2" eb="3">
      <t>ワク</t>
    </rPh>
    <rPh sb="4" eb="6">
      <t>ヒョウジ</t>
    </rPh>
    <rPh sb="6" eb="8">
      <t>ナイヨウ</t>
    </rPh>
    <phoneticPr fontId="5"/>
  </si>
  <si>
    <t>ouin_naiyou</t>
    <phoneticPr fontId="5"/>
  </si>
  <si>
    <t>[0-3]</t>
    <phoneticPr fontId="5"/>
  </si>
  <si>
    <t>OUIN_NAIYOU</t>
    <phoneticPr fontId="5"/>
  </si>
  <si>
    <t>押印枠の名称に表示する内容を決定する。
0：非表示
1：役割
2：ユーザー名
3：処理権限名</t>
    <rPh sb="4" eb="6">
      <t>メイショウ</t>
    </rPh>
    <rPh sb="7" eb="9">
      <t>ヒョウジ</t>
    </rPh>
    <rPh sb="11" eb="13">
      <t>ナイヨウ</t>
    </rPh>
    <rPh sb="14" eb="16">
      <t>ケッテイ</t>
    </rPh>
    <rPh sb="22" eb="25">
      <t>ヒヒョウジ</t>
    </rPh>
    <rPh sb="28" eb="30">
      <t>ヤクワリ</t>
    </rPh>
    <rPh sb="37" eb="38">
      <t>メイ</t>
    </rPh>
    <rPh sb="41" eb="43">
      <t>ショリ</t>
    </rPh>
    <rPh sb="43" eb="45">
      <t>ケンゲン</t>
    </rPh>
    <rPh sb="45" eb="46">
      <t>メイ</t>
    </rPh>
    <phoneticPr fontId="5"/>
  </si>
  <si>
    <t>印影（画像）表示</t>
    <rPh sb="0" eb="2">
      <t>インエイ</t>
    </rPh>
    <rPh sb="3" eb="5">
      <t>ガゾウ</t>
    </rPh>
    <rPh sb="6" eb="8">
      <t>ヒョウジ</t>
    </rPh>
    <phoneticPr fontId="5"/>
  </si>
  <si>
    <t>inei</t>
    <phoneticPr fontId="5"/>
  </si>
  <si>
    <t>INEI</t>
  </si>
  <si>
    <t>印影（画像）を表示するかしないかを指定します。
0：表示しない
1：表示する</t>
    <rPh sb="0" eb="2">
      <t>インエイ</t>
    </rPh>
    <rPh sb="3" eb="5">
      <t>ガゾウ</t>
    </rPh>
    <rPh sb="7" eb="9">
      <t>ヒョウジ</t>
    </rPh>
    <rPh sb="17" eb="19">
      <t>シテイ</t>
    </rPh>
    <rPh sb="26" eb="28">
      <t>ヒョウジ</t>
    </rPh>
    <rPh sb="34" eb="36">
      <t>ヒョウジ</t>
    </rPh>
    <phoneticPr fontId="5"/>
  </si>
  <si>
    <t>押印枠サイズ</t>
    <rPh sb="0" eb="2">
      <t>オウイン</t>
    </rPh>
    <rPh sb="2" eb="3">
      <t>ワク</t>
    </rPh>
    <phoneticPr fontId="5"/>
  </si>
  <si>
    <t>ouin_size</t>
  </si>
  <si>
    <t>[1-2]</t>
  </si>
  <si>
    <t>OUIN_SIZE</t>
  </si>
  <si>
    <t>押印枠のサイズを指定します。
1：大
2：小</t>
    <rPh sb="8" eb="10">
      <t>シテイ</t>
    </rPh>
    <rPh sb="17" eb="18">
      <t>ダイ</t>
    </rPh>
    <rPh sb="21" eb="22">
      <t>チイ</t>
    </rPh>
    <phoneticPr fontId="5"/>
  </si>
  <si>
    <t>添付ファイルのファイル名出力</t>
    <rPh sb="0" eb="2">
      <t>テンプ</t>
    </rPh>
    <rPh sb="11" eb="12">
      <t>メイ</t>
    </rPh>
    <rPh sb="12" eb="14">
      <t>シュツリョク</t>
    </rPh>
    <phoneticPr fontId="5"/>
  </si>
  <si>
    <t>filename_out</t>
    <phoneticPr fontId="5"/>
  </si>
  <si>
    <t>FILENAME_OUT</t>
    <phoneticPr fontId="5"/>
  </si>
  <si>
    <t>添付ファイルのファイル名を申請書帳票に出力するか。
0：しない
1：する</t>
    <rPh sb="0" eb="2">
      <t>テンプ</t>
    </rPh>
    <rPh sb="11" eb="12">
      <t>メイ</t>
    </rPh>
    <rPh sb="13" eb="16">
      <t>シンセイショ</t>
    </rPh>
    <rPh sb="16" eb="18">
      <t>チョウヒョウ</t>
    </rPh>
    <rPh sb="19" eb="21">
      <t>シュツリョク</t>
    </rPh>
    <phoneticPr fontId="5"/>
  </si>
  <si>
    <t>遡及日適用印刷機能利用</t>
    <phoneticPr fontId="5"/>
  </si>
  <si>
    <t>sokyu_insatsu</t>
    <phoneticPr fontId="5"/>
  </si>
  <si>
    <t>SOKYU_INSATSU</t>
    <phoneticPr fontId="5"/>
  </si>
  <si>
    <t>遡及日適用印刷機能を利用するかどうか。
0：しない
1：する</t>
  </si>
  <si>
    <t>経費明細一覧に部門を出力する</t>
    <phoneticPr fontId="5"/>
  </si>
  <si>
    <t>keihimeisai_bumon</t>
    <phoneticPr fontId="5"/>
  </si>
  <si>
    <t>KEIHIMEISAI_BUMON</t>
    <phoneticPr fontId="5"/>
  </si>
  <si>
    <t>経費明細一覧に部門を出力するかどうか。
0：表示しない
1：表示する</t>
    <rPh sb="0" eb="2">
      <t>ケイヒ</t>
    </rPh>
    <rPh sb="2" eb="4">
      <t>メイサイ</t>
    </rPh>
    <rPh sb="4" eb="6">
      <t>イチラン</t>
    </rPh>
    <rPh sb="7" eb="9">
      <t>ブモン</t>
    </rPh>
    <rPh sb="10" eb="12">
      <t>シュツリョク</t>
    </rPh>
    <rPh sb="22" eb="24">
      <t>ヒョウジ</t>
    </rPh>
    <rPh sb="30" eb="32">
      <t>ヒョウジ</t>
    </rPh>
    <phoneticPr fontId="5"/>
  </si>
  <si>
    <t>経費明細一覧に枝番を出力する</t>
  </si>
  <si>
    <t>keihimeisai_edano</t>
    <phoneticPr fontId="5"/>
  </si>
  <si>
    <t>KEIHIMEISAI_EDANO</t>
    <phoneticPr fontId="5"/>
  </si>
  <si>
    <t>経費明細一覧に枝番を出力するかどうか。
0：表示しない
1：表示する</t>
    <rPh sb="0" eb="2">
      <t>ケイヒ</t>
    </rPh>
    <rPh sb="2" eb="4">
      <t>メイサイ</t>
    </rPh>
    <rPh sb="4" eb="6">
      <t>イチラン</t>
    </rPh>
    <rPh sb="7" eb="9">
      <t>エダバン</t>
    </rPh>
    <rPh sb="10" eb="12">
      <t>シュツリョク</t>
    </rPh>
    <rPh sb="22" eb="24">
      <t>ヒョウジ</t>
    </rPh>
    <rPh sb="30" eb="32">
      <t>ヒョウジ</t>
    </rPh>
    <phoneticPr fontId="5"/>
  </si>
  <si>
    <t>経費明細一覧セキュリティパターン設定</t>
    <rPh sb="0" eb="2">
      <t>ケイヒ</t>
    </rPh>
    <rPh sb="2" eb="4">
      <t>メイサイ</t>
    </rPh>
    <rPh sb="4" eb="6">
      <t>イチラン</t>
    </rPh>
    <rPh sb="16" eb="18">
      <t>セッテイ</t>
    </rPh>
    <phoneticPr fontId="5"/>
  </si>
  <si>
    <t>keihimeisai_security_psettei</t>
    <phoneticPr fontId="5"/>
  </si>
  <si>
    <t>KEIHIMEISAI_SECURITY_PSETTEI</t>
    <phoneticPr fontId="5"/>
  </si>
  <si>
    <t>経費明細一覧参照時のセキュリティパターンの設定。
1：ユーザー毎に設定する
2：所属部門毎に設定する</t>
    <rPh sb="0" eb="2">
      <t>ケイヒ</t>
    </rPh>
    <rPh sb="2" eb="4">
      <t>メイサイ</t>
    </rPh>
    <rPh sb="4" eb="6">
      <t>イチラン</t>
    </rPh>
    <rPh sb="6" eb="8">
      <t>サンショウ</t>
    </rPh>
    <rPh sb="8" eb="9">
      <t>ジ</t>
    </rPh>
    <rPh sb="21" eb="23">
      <t>セッテイ</t>
    </rPh>
    <rPh sb="31" eb="32">
      <t>ゴト</t>
    </rPh>
    <rPh sb="33" eb="35">
      <t>セッテイ</t>
    </rPh>
    <rPh sb="40" eb="42">
      <t>ショゾク</t>
    </rPh>
    <rPh sb="42" eb="44">
      <t>ブモン</t>
    </rPh>
    <rPh sb="44" eb="45">
      <t>ゴト</t>
    </rPh>
    <rPh sb="46" eb="48">
      <t>セッテイ</t>
    </rPh>
    <phoneticPr fontId="5"/>
  </si>
  <si>
    <t>e文書</t>
    <phoneticPr fontId="5"/>
  </si>
  <si>
    <t>e文書を有効にする</t>
    <rPh sb="1" eb="3">
      <t>ブンショ</t>
    </rPh>
    <rPh sb="4" eb="6">
      <t>ユウコウ</t>
    </rPh>
    <phoneticPr fontId="5"/>
  </si>
  <si>
    <t>ebunsho_enable_flg</t>
    <phoneticPr fontId="5"/>
  </si>
  <si>
    <t>EBUNSHO_ENABLE_FLG</t>
    <phoneticPr fontId="5"/>
  </si>
  <si>
    <t>添付ファイルをe文書として登録するかどうか。
0：無効
1：有効
2：有効（令和３年改正）</t>
    <rPh sb="0" eb="2">
      <t>テンプ</t>
    </rPh>
    <rPh sb="8" eb="10">
      <t>ブンショ</t>
    </rPh>
    <rPh sb="13" eb="15">
      <t>トウロク</t>
    </rPh>
    <rPh sb="25" eb="27">
      <t>ムコウ</t>
    </rPh>
    <rPh sb="30" eb="32">
      <t>ユウコウ</t>
    </rPh>
    <rPh sb="35" eb="37">
      <t>ユウコウ</t>
    </rPh>
    <rPh sb="38" eb="40">
      <t>レイワ</t>
    </rPh>
    <rPh sb="41" eb="42">
      <t>ネン</t>
    </rPh>
    <rPh sb="42" eb="44">
      <t>カイセイ</t>
    </rPh>
    <phoneticPr fontId="5"/>
  </si>
  <si>
    <t>e文書対象チェックの初期値</t>
    <phoneticPr fontId="5"/>
  </si>
  <si>
    <t>ebunsho_taishou_check_default</t>
    <phoneticPr fontId="5"/>
  </si>
  <si>
    <t>EBUNSHO_TAISHOU_CHECK_DEFAULT</t>
    <phoneticPr fontId="5"/>
  </si>
  <si>
    <t>「e文書を有効にする」オプションが有効の場合に
添付ファイル付与時のe文書対象チェックボックスをデフォルトでオンにするか。
0：オフ
1：オン</t>
    <rPh sb="2" eb="4">
      <t>ブンショ</t>
    </rPh>
    <rPh sb="5" eb="7">
      <t>ユウコウ</t>
    </rPh>
    <rPh sb="17" eb="19">
      <t>ユウコウ</t>
    </rPh>
    <rPh sb="20" eb="22">
      <t>バアイ</t>
    </rPh>
    <rPh sb="24" eb="26">
      <t>テンプ</t>
    </rPh>
    <rPh sb="30" eb="32">
      <t>フヨ</t>
    </rPh>
    <rPh sb="32" eb="33">
      <t>ジ</t>
    </rPh>
    <rPh sb="35" eb="37">
      <t>ブンショ</t>
    </rPh>
    <rPh sb="37" eb="39">
      <t>タイショウ</t>
    </rPh>
    <phoneticPr fontId="5"/>
  </si>
  <si>
    <t>電子取引のTS付与チェックの初期値</t>
    <phoneticPr fontId="5"/>
  </si>
  <si>
    <t>ebunsho_denshits_check_default</t>
    <phoneticPr fontId="5"/>
  </si>
  <si>
    <t>EBUNSHO_DENSHITS_CHECK_DEFAULT</t>
    <phoneticPr fontId="5"/>
  </si>
  <si>
    <t>「e文書を有効にする」オプションが有効の場合に
電子取引チェックオンに変更した時、TS付与チェックをデフォルトでオンにするか。
0：オフ
1：オン</t>
    <rPh sb="2" eb="4">
      <t>ブンショ</t>
    </rPh>
    <rPh sb="5" eb="7">
      <t>ユウコウ</t>
    </rPh>
    <rPh sb="17" eb="19">
      <t>ユウコウ</t>
    </rPh>
    <rPh sb="20" eb="22">
      <t>バアイ</t>
    </rPh>
    <rPh sb="24" eb="26">
      <t>デンシ</t>
    </rPh>
    <rPh sb="26" eb="28">
      <t>トリヒキ</t>
    </rPh>
    <rPh sb="35" eb="37">
      <t>ヘンコウ</t>
    </rPh>
    <rPh sb="39" eb="40">
      <t>トキ</t>
    </rPh>
    <rPh sb="43" eb="45">
      <t>フヨ</t>
    </rPh>
    <phoneticPr fontId="5"/>
  </si>
  <si>
    <t>経費立替精算</t>
    <phoneticPr fontId="5"/>
  </si>
  <si>
    <t>ebunsho_seisei_A001</t>
    <phoneticPr fontId="5"/>
  </si>
  <si>
    <t>EBUNSHO_SEISEI_A001</t>
    <phoneticPr fontId="5"/>
  </si>
  <si>
    <t>経費立替精算を、e文書対象とするかどうか。
0：対象としない
1：対象とする</t>
    <phoneticPr fontId="5"/>
  </si>
  <si>
    <t>書類種別(経費立替精算)</t>
    <rPh sb="0" eb="2">
      <t>ショルイ</t>
    </rPh>
    <rPh sb="2" eb="4">
      <t>シュベツ</t>
    </rPh>
    <phoneticPr fontId="5"/>
  </si>
  <si>
    <t>ebunsho_shubetsu_A001</t>
    <phoneticPr fontId="5"/>
  </si>
  <si>
    <t>EBUNSHO_SHUBETSU_A001</t>
    <phoneticPr fontId="5"/>
  </si>
  <si>
    <t>経費立替精算で選択可能な書類種別を指定します。（複数指定する場合は、カンマ区切り）
経費立替精算の値が1（対象とする）の際に有効。
0：領収書
1：請求書
2：契約書
3：納品書
4：注文書
5：見積書</t>
    <rPh sb="7" eb="9">
      <t>センタク</t>
    </rPh>
    <rPh sb="9" eb="11">
      <t>カノウ</t>
    </rPh>
    <rPh sb="12" eb="14">
      <t>ショルイ</t>
    </rPh>
    <rPh sb="14" eb="16">
      <t>シュベツ</t>
    </rPh>
    <rPh sb="17" eb="19">
      <t>シテイ</t>
    </rPh>
    <rPh sb="24" eb="26">
      <t>フクスウ</t>
    </rPh>
    <rPh sb="26" eb="28">
      <t>シテイ</t>
    </rPh>
    <rPh sb="30" eb="32">
      <t>バアイ</t>
    </rPh>
    <rPh sb="37" eb="39">
      <t>クギ</t>
    </rPh>
    <rPh sb="42" eb="44">
      <t>ケイヒ</t>
    </rPh>
    <rPh sb="44" eb="46">
      <t>タテカエ</t>
    </rPh>
    <rPh sb="46" eb="48">
      <t>セイサン</t>
    </rPh>
    <rPh sb="49" eb="50">
      <t>アタイ</t>
    </rPh>
    <rPh sb="60" eb="61">
      <t>サイ</t>
    </rPh>
    <rPh sb="62" eb="64">
      <t>ユウコウ</t>
    </rPh>
    <phoneticPr fontId="5"/>
  </si>
  <si>
    <t>0～6のカンマ区切りであること（正規表現でチェックできないため個別実装）</t>
    <rPh sb="7" eb="9">
      <t>クギ</t>
    </rPh>
    <rPh sb="16" eb="18">
      <t>セイキ</t>
    </rPh>
    <rPh sb="18" eb="20">
      <t>ヒョウゲン</t>
    </rPh>
    <rPh sb="31" eb="33">
      <t>コベツ</t>
    </rPh>
    <rPh sb="33" eb="35">
      <t>ジッソウ</t>
    </rPh>
    <phoneticPr fontId="5"/>
  </si>
  <si>
    <t>経費伺い申請（仮払申請）</t>
    <phoneticPr fontId="5"/>
  </si>
  <si>
    <t>ebunsho_seisei_A002</t>
    <phoneticPr fontId="5"/>
  </si>
  <si>
    <t>EBUNSHO_SEISEI_A002</t>
    <phoneticPr fontId="5"/>
  </si>
  <si>
    <t>経費伺い申請（仮払申請）を、e文書対象とするかどうか。
0：対象としない
1：対象とする</t>
    <phoneticPr fontId="5"/>
  </si>
  <si>
    <t>書類種別(経費伺い申請（仮払申請）)</t>
    <rPh sb="0" eb="2">
      <t>ショルイ</t>
    </rPh>
    <rPh sb="2" eb="4">
      <t>シュベツ</t>
    </rPh>
    <phoneticPr fontId="5"/>
  </si>
  <si>
    <t>ebunsho_shubetsu_A002</t>
    <phoneticPr fontId="5"/>
  </si>
  <si>
    <t>EBUNSHO_SHUBETSU_A002</t>
    <phoneticPr fontId="5"/>
  </si>
  <si>
    <t>経費伺い申請（仮払申請）で選択可能な書類種別を指定します。（複数指定する場合は、カンマ区切り）
経費伺い申請（仮払申請）の値が1（対象とする）の際に有効。
0：領収書
1：請求書
2：契約書
3：納品書
4：注文書
5：見積書</t>
    <rPh sb="13" eb="15">
      <t>センタク</t>
    </rPh>
    <rPh sb="15" eb="17">
      <t>カノウ</t>
    </rPh>
    <rPh sb="18" eb="20">
      <t>ショルイ</t>
    </rPh>
    <rPh sb="20" eb="22">
      <t>シュベツ</t>
    </rPh>
    <rPh sb="23" eb="25">
      <t>シテイ</t>
    </rPh>
    <rPh sb="30" eb="32">
      <t>フクスウ</t>
    </rPh>
    <rPh sb="32" eb="34">
      <t>シテイ</t>
    </rPh>
    <rPh sb="36" eb="38">
      <t>バアイ</t>
    </rPh>
    <rPh sb="43" eb="45">
      <t>クギ</t>
    </rPh>
    <rPh sb="61" eb="62">
      <t>アタイ</t>
    </rPh>
    <rPh sb="65" eb="67">
      <t>タイショウ</t>
    </rPh>
    <rPh sb="72" eb="73">
      <t>サイ</t>
    </rPh>
    <rPh sb="74" eb="76">
      <t>ユウコウ</t>
    </rPh>
    <phoneticPr fontId="5"/>
  </si>
  <si>
    <t>請求書払い申請</t>
    <phoneticPr fontId="5"/>
  </si>
  <si>
    <t>ebunsho_seisei_A003</t>
  </si>
  <si>
    <t>EBUNSHO_SEISEI_A003</t>
  </si>
  <si>
    <t>請求書払い申請を、e文書対象とするかどうか。
0：対象としない
1：対象とする</t>
    <phoneticPr fontId="5"/>
  </si>
  <si>
    <t>書類種別(請求書払い申請)</t>
    <rPh sb="0" eb="2">
      <t>ショルイ</t>
    </rPh>
    <rPh sb="2" eb="4">
      <t>シュベツ</t>
    </rPh>
    <phoneticPr fontId="5"/>
  </si>
  <si>
    <t>ebunsho_shubetsu_A003</t>
  </si>
  <si>
    <t>EBUNSHO_SHUBETSU_A003</t>
  </si>
  <si>
    <t>請求書払い申請で選択可能な書類種別を指定します。（複数指定する場合は、カンマ区切り）
請求書払い申請の値が1（対象とする）の際に有効。
0：領収書
1：請求書
2：契約書
3：納品書
4：注文書
5：見積書</t>
    <rPh sb="8" eb="10">
      <t>センタク</t>
    </rPh>
    <rPh sb="10" eb="12">
      <t>カノウ</t>
    </rPh>
    <rPh sb="13" eb="15">
      <t>ショルイ</t>
    </rPh>
    <rPh sb="15" eb="17">
      <t>シュベツ</t>
    </rPh>
    <rPh sb="18" eb="20">
      <t>シテイ</t>
    </rPh>
    <rPh sb="25" eb="27">
      <t>フクスウ</t>
    </rPh>
    <rPh sb="27" eb="29">
      <t>シテイ</t>
    </rPh>
    <rPh sb="31" eb="33">
      <t>バアイ</t>
    </rPh>
    <rPh sb="38" eb="40">
      <t>クギ</t>
    </rPh>
    <rPh sb="51" eb="52">
      <t>アタイ</t>
    </rPh>
    <rPh sb="55" eb="57">
      <t>タイショウ</t>
    </rPh>
    <rPh sb="62" eb="63">
      <t>サイ</t>
    </rPh>
    <rPh sb="64" eb="66">
      <t>ユウコウ</t>
    </rPh>
    <phoneticPr fontId="5"/>
  </si>
  <si>
    <t>ebunsho_seisei_A004</t>
    <phoneticPr fontId="5"/>
  </si>
  <si>
    <t>EBUNSHO_SEISEI_A004</t>
    <phoneticPr fontId="5"/>
  </si>
  <si>
    <t>出張旅費精算を、e文書対象とするかどうか。
0：対象としない
1：対象とする</t>
  </si>
  <si>
    <t>書類種別(出張旅費精算)</t>
    <rPh sb="0" eb="2">
      <t>ショルイ</t>
    </rPh>
    <rPh sb="2" eb="4">
      <t>シュベツ</t>
    </rPh>
    <phoneticPr fontId="5"/>
  </si>
  <si>
    <t>ebunsho_shubetsu_A004</t>
    <phoneticPr fontId="5"/>
  </si>
  <si>
    <t>EBUNSHO_SHUBETSU_A004</t>
    <phoneticPr fontId="5"/>
  </si>
  <si>
    <t>出張旅費精算で選択可能な書類種別を指定します。（複数指定する場合は、カンマ区切り）
出張旅費精算の値が1（対象とする）の際に有効。
0：領収書
1：請求書
2：契約書
3：納品書
4：注文書
5：見積書</t>
    <rPh sb="7" eb="9">
      <t>センタク</t>
    </rPh>
    <rPh sb="9" eb="11">
      <t>カノウ</t>
    </rPh>
    <rPh sb="12" eb="14">
      <t>ショルイ</t>
    </rPh>
    <rPh sb="14" eb="16">
      <t>シュベツ</t>
    </rPh>
    <rPh sb="17" eb="19">
      <t>シテイ</t>
    </rPh>
    <rPh sb="24" eb="26">
      <t>フクスウ</t>
    </rPh>
    <rPh sb="26" eb="28">
      <t>シテイ</t>
    </rPh>
    <rPh sb="30" eb="32">
      <t>バアイ</t>
    </rPh>
    <rPh sb="37" eb="39">
      <t>クギ</t>
    </rPh>
    <rPh sb="49" eb="50">
      <t>アタイ</t>
    </rPh>
    <rPh sb="60" eb="61">
      <t>サイ</t>
    </rPh>
    <rPh sb="62" eb="64">
      <t>ユウコウ</t>
    </rPh>
    <phoneticPr fontId="5"/>
  </si>
  <si>
    <t>ebunsho_seisei_A005</t>
    <phoneticPr fontId="5"/>
  </si>
  <si>
    <t>EBUNSHO_SEISEI_A005</t>
    <phoneticPr fontId="5"/>
  </si>
  <si>
    <t>出張伺い申請（仮払申請）を、e文書対象とするかどうか。
0：対象としない
1：対象とする</t>
    <phoneticPr fontId="5"/>
  </si>
  <si>
    <t>書類種別(出張伺い申請（仮払申請）)</t>
    <rPh sb="0" eb="2">
      <t>ショルイ</t>
    </rPh>
    <rPh sb="2" eb="4">
      <t>シュベツ</t>
    </rPh>
    <phoneticPr fontId="5"/>
  </si>
  <si>
    <t>ebunsho_shubetsu_A005</t>
    <phoneticPr fontId="5"/>
  </si>
  <si>
    <t>EBUNSHO_SHUBETSU_A005</t>
    <phoneticPr fontId="5"/>
  </si>
  <si>
    <t>出張伺い申請（仮払申請）で選択可能な書類種別を指定します。（複数指定する場合は、カンマ区切り）
出張伺い申請（仮払申請）の値が1（対象とする）の際に有効。
0：領収書
1：請求書
2：契約書
3：納品書
4：注文書
5：見積書</t>
    <rPh sb="13" eb="15">
      <t>センタク</t>
    </rPh>
    <rPh sb="15" eb="17">
      <t>カノウ</t>
    </rPh>
    <rPh sb="18" eb="20">
      <t>ショルイ</t>
    </rPh>
    <rPh sb="20" eb="22">
      <t>シュベツ</t>
    </rPh>
    <rPh sb="23" eb="25">
      <t>シテイ</t>
    </rPh>
    <rPh sb="30" eb="32">
      <t>フクスウ</t>
    </rPh>
    <rPh sb="32" eb="34">
      <t>シテイ</t>
    </rPh>
    <rPh sb="36" eb="38">
      <t>バアイ</t>
    </rPh>
    <rPh sb="43" eb="45">
      <t>クギ</t>
    </rPh>
    <rPh sb="61" eb="62">
      <t>アタイ</t>
    </rPh>
    <rPh sb="72" eb="73">
      <t>サイ</t>
    </rPh>
    <rPh sb="74" eb="76">
      <t>ユウコウ</t>
    </rPh>
    <phoneticPr fontId="5"/>
  </si>
  <si>
    <t>通勤定期申請</t>
    <rPh sb="0" eb="2">
      <t>ショルイ</t>
    </rPh>
    <rPh sb="2" eb="4">
      <t>シュベツ</t>
    </rPh>
    <phoneticPr fontId="5"/>
  </si>
  <si>
    <t>ebunsho_seisei_A006</t>
  </si>
  <si>
    <t>EBUNSHO_SEISEI_A006</t>
  </si>
  <si>
    <t>通勤定期申請を、e文書対象とするかどうか。
0：対象としない
1：対象とする</t>
    <phoneticPr fontId="5"/>
  </si>
  <si>
    <t>書類種別(通勤定期申請)</t>
    <rPh sb="0" eb="2">
      <t>ショルイ</t>
    </rPh>
    <rPh sb="2" eb="4">
      <t>シュベツ</t>
    </rPh>
    <phoneticPr fontId="5"/>
  </si>
  <si>
    <t>ebunsho_shubetsu_A006</t>
  </si>
  <si>
    <t>EBUNSHO_SHUBETSU_A006</t>
  </si>
  <si>
    <t>通勤定期申請で選択可能な書類種別を指定します。（複数指定する場合は、カンマ区切り）
通勤定期申請の値が1（対象とする）の際に有効。
0：領収書
1：請求書
2：契約書
3：納品書
4：注文書
5：見積書</t>
    <rPh sb="7" eb="9">
      <t>センタク</t>
    </rPh>
    <rPh sb="9" eb="11">
      <t>カノウ</t>
    </rPh>
    <rPh sb="12" eb="14">
      <t>ショルイ</t>
    </rPh>
    <rPh sb="14" eb="16">
      <t>シュベツ</t>
    </rPh>
    <rPh sb="17" eb="19">
      <t>シテイ</t>
    </rPh>
    <rPh sb="28" eb="29">
      <t>アタイ</t>
    </rPh>
    <rPh sb="32" eb="34">
      <t>タイショウ</t>
    </rPh>
    <rPh sb="39" eb="40">
      <t>サイ</t>
    </rPh>
    <phoneticPr fontId="5"/>
  </si>
  <si>
    <t>ebunsho_seisei_A009</t>
    <phoneticPr fontId="5"/>
  </si>
  <si>
    <t>EBUNSHO_SEISEI_A009</t>
    <phoneticPr fontId="5"/>
  </si>
  <si>
    <t>自動引落伝票を、e文書対象とするかどうか。
0：対象としない
1：対象とする</t>
    <phoneticPr fontId="5"/>
  </si>
  <si>
    <t>書類種別(自動引落伝票)</t>
    <rPh sb="0" eb="2">
      <t>ショルイ</t>
    </rPh>
    <rPh sb="2" eb="4">
      <t>シュベツ</t>
    </rPh>
    <phoneticPr fontId="5"/>
  </si>
  <si>
    <t>ebunsho_shubetsu_A009</t>
    <phoneticPr fontId="5"/>
  </si>
  <si>
    <t>EBUNSHO_SHUBETSU_A009</t>
    <phoneticPr fontId="5"/>
  </si>
  <si>
    <t>自動引落伝票で選択可能な書類種別を指定します。（複数指定する場合は、カンマ区切り）
自動引落伝票の値が1（対象とする）の際に有効。
0：領収書
1：請求書
2：契約書
3：納品書
4：注文書
5：見積書</t>
    <rPh sb="7" eb="9">
      <t>センタク</t>
    </rPh>
    <rPh sb="9" eb="11">
      <t>カノウ</t>
    </rPh>
    <rPh sb="12" eb="14">
      <t>ショルイ</t>
    </rPh>
    <rPh sb="14" eb="16">
      <t>シュベツ</t>
    </rPh>
    <rPh sb="17" eb="19">
      <t>シテイ</t>
    </rPh>
    <rPh sb="28" eb="29">
      <t>アタイ</t>
    </rPh>
    <rPh sb="32" eb="34">
      <t>タイショウ</t>
    </rPh>
    <rPh sb="39" eb="40">
      <t>サイ</t>
    </rPh>
    <phoneticPr fontId="5"/>
  </si>
  <si>
    <t>ebunsho_seisei_A010</t>
    <phoneticPr fontId="5"/>
  </si>
  <si>
    <t>EBUNSHO_SEISEI_A010</t>
    <phoneticPr fontId="5"/>
  </si>
  <si>
    <t>交通費精算を、e文書対象とするかどうか。
0：対象としない
1：対象とする</t>
    <rPh sb="0" eb="3">
      <t>コウツウヒ</t>
    </rPh>
    <rPh sb="3" eb="5">
      <t>セイサン</t>
    </rPh>
    <rPh sb="8" eb="10">
      <t>ブンショ</t>
    </rPh>
    <rPh sb="10" eb="12">
      <t>タイショウ</t>
    </rPh>
    <rPh sb="23" eb="25">
      <t>タイショウ</t>
    </rPh>
    <rPh sb="32" eb="34">
      <t>タイショウ</t>
    </rPh>
    <phoneticPr fontId="5"/>
  </si>
  <si>
    <t>書類種別(交通費精算)</t>
    <rPh sb="0" eb="2">
      <t>ショルイ</t>
    </rPh>
    <rPh sb="2" eb="4">
      <t>シュベツ</t>
    </rPh>
    <phoneticPr fontId="5"/>
  </si>
  <si>
    <t>ebunsho_shubetsu_A010</t>
    <phoneticPr fontId="5"/>
  </si>
  <si>
    <t>EBUNSHO_SHUBETSU_A010</t>
    <phoneticPr fontId="5"/>
  </si>
  <si>
    <t>交通費精算で選択可能な書類種別を指定します。（複数指定する場合は、カンマ区切り）
交通費精算の値が1（対象とする）の際に有効。
0：領収書
1：請求書
2：契約書
3：納品書
4：注文書
5：見積書</t>
    <rPh sb="6" eb="8">
      <t>センタク</t>
    </rPh>
    <rPh sb="8" eb="10">
      <t>カノウ</t>
    </rPh>
    <rPh sb="11" eb="13">
      <t>ショルイ</t>
    </rPh>
    <rPh sb="13" eb="15">
      <t>シュベツ</t>
    </rPh>
    <rPh sb="16" eb="18">
      <t>シテイ</t>
    </rPh>
    <rPh sb="27" eb="28">
      <t>アタイ</t>
    </rPh>
    <rPh sb="31" eb="33">
      <t>タイショウ</t>
    </rPh>
    <rPh sb="38" eb="39">
      <t>サイ</t>
    </rPh>
    <phoneticPr fontId="5"/>
  </si>
  <si>
    <t>ebunsho_seisei_A011</t>
    <phoneticPr fontId="5"/>
  </si>
  <si>
    <t>EBUNSHO_SEISEI_A011</t>
    <phoneticPr fontId="5"/>
  </si>
  <si>
    <t>海外出張旅費精算を、e文書対象とするかどうか。
0：対象としない
1：対象とする</t>
    <rPh sb="0" eb="2">
      <t>カイガイ</t>
    </rPh>
    <phoneticPr fontId="5"/>
  </si>
  <si>
    <t>書類種別(海外出張旅費精算)</t>
    <rPh sb="0" eb="2">
      <t>ショルイ</t>
    </rPh>
    <rPh sb="2" eb="4">
      <t>シュベツ</t>
    </rPh>
    <phoneticPr fontId="5"/>
  </si>
  <si>
    <t>ebunsho_shubetsu_A011</t>
    <phoneticPr fontId="5"/>
  </si>
  <si>
    <t>EBUNSHO_SHUBETSU_A011</t>
    <phoneticPr fontId="5"/>
  </si>
  <si>
    <t>海外出張旅費精算で選択可能な書類種別を指定します。（複数指定する場合は、カンマ区切り）
海外出張旅費精算の値が1（対象とする）の際に有効。
0：領収書
1：請求書
2：契約書
3：納品書
4：注文書
5：見積書</t>
    <rPh sb="9" eb="11">
      <t>センタク</t>
    </rPh>
    <rPh sb="11" eb="13">
      <t>カノウ</t>
    </rPh>
    <rPh sb="14" eb="16">
      <t>ショルイ</t>
    </rPh>
    <rPh sb="16" eb="18">
      <t>シュベツ</t>
    </rPh>
    <rPh sb="19" eb="21">
      <t>シテイ</t>
    </rPh>
    <rPh sb="30" eb="31">
      <t>アタイ</t>
    </rPh>
    <rPh sb="34" eb="36">
      <t>タイショウ</t>
    </rPh>
    <rPh sb="41" eb="42">
      <t>サイ</t>
    </rPh>
    <phoneticPr fontId="5"/>
  </si>
  <si>
    <t>ebunsho_seisei_A012</t>
    <phoneticPr fontId="5"/>
  </si>
  <si>
    <t>EBUNSHO_SEISEI_A012</t>
    <phoneticPr fontId="5"/>
  </si>
  <si>
    <t>海外出張伺い申請（仮払申請）を、e文書対象とするかどうか。
0：対象としない
1：対象とする</t>
    <phoneticPr fontId="5"/>
  </si>
  <si>
    <t>書類種別(海外出張伺い申請（仮払申請）)</t>
    <rPh sb="0" eb="2">
      <t>ショルイ</t>
    </rPh>
    <rPh sb="2" eb="4">
      <t>シュベツ</t>
    </rPh>
    <phoneticPr fontId="5"/>
  </si>
  <si>
    <t>ebunsho_shubetsu_A012</t>
    <phoneticPr fontId="5"/>
  </si>
  <si>
    <t>EBUNSHO_SHUBETSU_A012</t>
    <phoneticPr fontId="5"/>
  </si>
  <si>
    <t>海外出張伺い申請（仮払申請）で選択可能な書類種別を指定します。（複数指定する場合は、カンマ区切り）
海外出張伺い申請（仮払申請）の値が1（対象とする）の際に有効。
0：領収書
1：請求書
2：契約書
3：納品書
4：注文書
5：見積書</t>
    <rPh sb="15" eb="17">
      <t>センタク</t>
    </rPh>
    <rPh sb="17" eb="19">
      <t>カノウ</t>
    </rPh>
    <rPh sb="20" eb="22">
      <t>ショルイ</t>
    </rPh>
    <rPh sb="22" eb="24">
      <t>シュベツ</t>
    </rPh>
    <rPh sb="25" eb="27">
      <t>シテイ</t>
    </rPh>
    <rPh sb="36" eb="37">
      <t>アタイ</t>
    </rPh>
    <rPh sb="40" eb="42">
      <t>タイショウ</t>
    </rPh>
    <rPh sb="47" eb="48">
      <t>サイ</t>
    </rPh>
    <phoneticPr fontId="5"/>
  </si>
  <si>
    <t>ebunsho_seisei_A013</t>
    <phoneticPr fontId="5"/>
  </si>
  <si>
    <t>EBUNSHO_SEISEI_A013</t>
    <phoneticPr fontId="5"/>
  </si>
  <si>
    <t>支払依頼申請を、e文書対象とするかどうか。
0：対象としない
1：対象とする</t>
  </si>
  <si>
    <t>書類種別(支払依頼申請)</t>
    <rPh sb="0" eb="2">
      <t>ショルイ</t>
    </rPh>
    <rPh sb="2" eb="4">
      <t>シュベツ</t>
    </rPh>
    <phoneticPr fontId="5"/>
  </si>
  <si>
    <t>ebunsho_shubetsu_A013</t>
    <phoneticPr fontId="5"/>
  </si>
  <si>
    <t>EBUNSHO_SHUBETSU_A013</t>
    <phoneticPr fontId="5"/>
  </si>
  <si>
    <t>支払依頼申請で選択可能な書類種別を指定します。（複数指定する場合は、カンマ区切り）
支払依頼申請の値が1（対象とする）の際に有効。
0：領収書
1：請求書
2：契約書
3：納品書
4：注文書
5：見積書</t>
    <rPh sb="7" eb="9">
      <t>センタク</t>
    </rPh>
    <rPh sb="9" eb="11">
      <t>カノウ</t>
    </rPh>
    <rPh sb="12" eb="14">
      <t>ショルイ</t>
    </rPh>
    <rPh sb="14" eb="16">
      <t>シュベツ</t>
    </rPh>
    <rPh sb="17" eb="19">
      <t>シテイ</t>
    </rPh>
    <rPh sb="28" eb="29">
      <t>アタイ</t>
    </rPh>
    <rPh sb="32" eb="34">
      <t>タイショウ</t>
    </rPh>
    <rPh sb="39" eb="40">
      <t>サイ</t>
    </rPh>
    <phoneticPr fontId="5"/>
  </si>
  <si>
    <t>ユーザー定義届出</t>
    <phoneticPr fontId="5"/>
  </si>
  <si>
    <t>ebunsho_seisei_B000</t>
    <phoneticPr fontId="5"/>
  </si>
  <si>
    <t>EBUNSHO_SEISEI_B000</t>
    <phoneticPr fontId="5"/>
  </si>
  <si>
    <t>ユーザー定義届出を、e文書対象とするかどうか。
0：対象としない
1：対象とする</t>
    <phoneticPr fontId="5"/>
  </si>
  <si>
    <t>書類種別(ユーザー定義届出)</t>
    <rPh sb="0" eb="2">
      <t>ショルイ</t>
    </rPh>
    <rPh sb="2" eb="4">
      <t>シュベツ</t>
    </rPh>
    <phoneticPr fontId="5"/>
  </si>
  <si>
    <t>ebunsho_shubetsu_B000</t>
    <phoneticPr fontId="5"/>
  </si>
  <si>
    <t>EBUNSHO_SHUBETSU_B000</t>
    <phoneticPr fontId="5"/>
  </si>
  <si>
    <t>ユーザー定義届出で選択可能な書類種別を指定します。（複数指定する場合は、カンマ区切り）
ユーザー定義届出の値が1（対象とする）の際に有効。
0：領収書
1：請求書
2：契約書
3：納品書
4：注文書
5：見積書</t>
    <rPh sb="9" eb="11">
      <t>センタク</t>
    </rPh>
    <rPh sb="11" eb="13">
      <t>カノウ</t>
    </rPh>
    <rPh sb="14" eb="16">
      <t>ショルイ</t>
    </rPh>
    <rPh sb="16" eb="18">
      <t>シュベツ</t>
    </rPh>
    <rPh sb="19" eb="21">
      <t>シテイ</t>
    </rPh>
    <rPh sb="30" eb="31">
      <t>アタイ</t>
    </rPh>
    <rPh sb="34" eb="36">
      <t>タイショウ</t>
    </rPh>
    <rPh sb="41" eb="42">
      <t>サイ</t>
    </rPh>
    <phoneticPr fontId="5"/>
  </si>
  <si>
    <t>e文書変換時に画像を圧縮する</t>
    <phoneticPr fontId="5"/>
  </si>
  <si>
    <t>ebunsho_compress_flg</t>
    <phoneticPr fontId="5"/>
  </si>
  <si>
    <t>EBUNSHO_COMPRESS_FLG</t>
    <phoneticPr fontId="5"/>
  </si>
  <si>
    <t>e文書変換時に画像を圧縮する。
0：しない
1：する</t>
    <rPh sb="1" eb="3">
      <t>ブンショ</t>
    </rPh>
    <rPh sb="3" eb="5">
      <t>ヘンカン</t>
    </rPh>
    <rPh sb="5" eb="6">
      <t>ジ</t>
    </rPh>
    <rPh sb="7" eb="9">
      <t>ガゾウ</t>
    </rPh>
    <rPh sb="10" eb="12">
      <t>アッシュク</t>
    </rPh>
    <phoneticPr fontId="5"/>
  </si>
  <si>
    <t>添付ファイル</t>
    <rPh sb="0" eb="2">
      <t>テンプ</t>
    </rPh>
    <phoneticPr fontId="5"/>
  </si>
  <si>
    <t>経費立替精算　添付ファイルチェック</t>
    <rPh sb="4" eb="6">
      <t>セイサン</t>
    </rPh>
    <phoneticPr fontId="5"/>
  </si>
  <si>
    <t>tenpu_check_A001</t>
    <phoneticPr fontId="5"/>
  </si>
  <si>
    <t>TENPU_CHECK_A001</t>
  </si>
  <si>
    <t>領収書・請求書等がチェックオンの明細行がある場合、添付ファイルのチェックを行うかどうか。
0：チェックしない
1：チェックする</t>
    <rPh sb="0" eb="3">
      <t>リョウシュウショ</t>
    </rPh>
    <rPh sb="4" eb="8">
      <t>セイキュウショナド</t>
    </rPh>
    <rPh sb="16" eb="18">
      <t>メイサイ</t>
    </rPh>
    <rPh sb="18" eb="19">
      <t>ギョウ</t>
    </rPh>
    <rPh sb="22" eb="24">
      <t>バアイ</t>
    </rPh>
    <rPh sb="25" eb="27">
      <t>テンプ</t>
    </rPh>
    <rPh sb="37" eb="38">
      <t>オコナ</t>
    </rPh>
    <phoneticPr fontId="5"/>
  </si>
  <si>
    <t>経費立替精算　領収書・請求書等デフォルト値</t>
    <rPh sb="0" eb="4">
      <t>ケイヒタテカエ</t>
    </rPh>
    <rPh sb="4" eb="6">
      <t>セイサン</t>
    </rPh>
    <phoneticPr fontId="5"/>
  </si>
  <si>
    <t>shouhyou_shorui_default_A001</t>
    <phoneticPr fontId="5"/>
  </si>
  <si>
    <t>SHOUHYOU_SHORUI_DEFAULT_A001</t>
    <phoneticPr fontId="5"/>
  </si>
  <si>
    <t>経費立替精算の領収書・請求書等のデフォルト設定。
0：なし
1：あり</t>
    <rPh sb="0" eb="2">
      <t>ケイヒ</t>
    </rPh>
    <rPh sb="2" eb="4">
      <t>タテカエ</t>
    </rPh>
    <rPh sb="4" eb="6">
      <t>セイサン</t>
    </rPh>
    <phoneticPr fontId="5"/>
  </si>
  <si>
    <t>出張旅費精算　添付ファイルチェック</t>
    <phoneticPr fontId="5"/>
  </si>
  <si>
    <t>tenpu_check_A004</t>
    <phoneticPr fontId="5"/>
  </si>
  <si>
    <t>TENPU_CHECK_A004</t>
  </si>
  <si>
    <t>出張旅費精算　領収書・請求書等デフォルト値</t>
    <phoneticPr fontId="5"/>
  </si>
  <si>
    <t>shouhyou_shorui_default_A004</t>
  </si>
  <si>
    <t>SHOUHYOU_SHORUI_DEFAULT_A004</t>
  </si>
  <si>
    <t>出張旅費精算の領収書・請求書等のデフォルト設定。
0：なし
1：あり</t>
    <phoneticPr fontId="5"/>
  </si>
  <si>
    <t>海外出張旅費精算　添付ファイルチェック</t>
    <phoneticPr fontId="5"/>
  </si>
  <si>
    <t>tenpu_check_A011</t>
    <phoneticPr fontId="5"/>
  </si>
  <si>
    <t>TENPU_CHECK_A011</t>
  </si>
  <si>
    <t>海外出張旅費精算　領収書・請求書等デフォルト値</t>
    <phoneticPr fontId="5"/>
  </si>
  <si>
    <t>shouhyou_shorui_default_A011</t>
  </si>
  <si>
    <t>SHOUHYOU_SHORUI_DEFAULT_A011</t>
  </si>
  <si>
    <t>海外出張旅費精算の領収書・請求書等のデフォルト設定。
0：なし
1：あり</t>
    <phoneticPr fontId="5"/>
  </si>
  <si>
    <t>交通費精算　添付ファイルチェック</t>
    <rPh sb="0" eb="3">
      <t>コウツウヒ</t>
    </rPh>
    <rPh sb="3" eb="5">
      <t>セイサン</t>
    </rPh>
    <rPh sb="6" eb="8">
      <t>テンプ</t>
    </rPh>
    <phoneticPr fontId="5"/>
  </si>
  <si>
    <t>tenpu_check_A010</t>
    <phoneticPr fontId="5"/>
  </si>
  <si>
    <t>TENPU_CHECK_A010</t>
  </si>
  <si>
    <t>交通費精算　領収書・請求書等デフォルト値</t>
    <phoneticPr fontId="5"/>
  </si>
  <si>
    <t>shouhyou_shorui_default_A010</t>
  </si>
  <si>
    <t>SHOUHYOU_SHORUI_DEFAULT_A010</t>
  </si>
  <si>
    <t>交通費精算の領収書・請求書等のデフォルト設定。
0：なし
1：あり</t>
    <phoneticPr fontId="5"/>
  </si>
  <si>
    <t>請求書払い申請　添付ファイルチェック</t>
    <phoneticPr fontId="5"/>
  </si>
  <si>
    <t>tenpu_check_A003</t>
    <phoneticPr fontId="5"/>
  </si>
  <si>
    <t>TENPU_CHECK_A003</t>
  </si>
  <si>
    <t>領収書・請求書等がありの場合、添付ファイルのチェックを行うかどうか。
0：チェックしない
1：チェックする</t>
    <rPh sb="0" eb="3">
      <t>リョウシュウショ</t>
    </rPh>
    <rPh sb="4" eb="8">
      <t>セイキュウショナド</t>
    </rPh>
    <rPh sb="12" eb="14">
      <t>バアイ</t>
    </rPh>
    <rPh sb="15" eb="17">
      <t>テンプ</t>
    </rPh>
    <rPh sb="27" eb="28">
      <t>オコナ</t>
    </rPh>
    <phoneticPr fontId="5"/>
  </si>
  <si>
    <t>請求書払い申請　領収書・請求書等デフォルト値</t>
    <phoneticPr fontId="5"/>
  </si>
  <si>
    <t>shouhyou_shorui_default_A003</t>
  </si>
  <si>
    <t>SHOUHYOU_SHORUI_DEFAULT_A003</t>
  </si>
  <si>
    <t>請求書払い申請の領収書・請求書等のデフォルト設定。
0：なし
1：あり</t>
    <phoneticPr fontId="5"/>
  </si>
  <si>
    <t>支払依頼申請　添付ファイルチェック</t>
    <phoneticPr fontId="5"/>
  </si>
  <si>
    <t>tenpu_check_A013</t>
    <phoneticPr fontId="5"/>
  </si>
  <si>
    <t>TENPU_CHECK_A013</t>
    <phoneticPr fontId="5"/>
  </si>
  <si>
    <t>支払依頼申請　領収書・請求書等デフォルト値</t>
    <phoneticPr fontId="5"/>
  </si>
  <si>
    <t>shouhyou_shorui_default_A013</t>
  </si>
  <si>
    <t>SHOUHYOU_SHORUI_DEFAULT_A013</t>
  </si>
  <si>
    <t>支払依頼申請の領収書・請求書等のデフォルト設定。
0：なし
1：あり</t>
    <phoneticPr fontId="5"/>
  </si>
  <si>
    <t>添付伝票</t>
    <rPh sb="0" eb="4">
      <t>テンプデンピョウ</t>
    </rPh>
    <phoneticPr fontId="5"/>
  </si>
  <si>
    <t>添付伝票に仮払案件を自動的に追加</t>
    <rPh sb="10" eb="13">
      <t>ジドウテキ</t>
    </rPh>
    <rPh sb="14" eb="16">
      <t>ツイカ</t>
    </rPh>
    <phoneticPr fontId="5"/>
  </si>
  <si>
    <t>tenpu_denpyou_jidou_flg</t>
  </si>
  <si>
    <t>(0|1)</t>
  </si>
  <si>
    <t>TENPU_DENPYOU_JIDOU_FLG</t>
  </si>
  <si>
    <t>仮払案件選択時、自動的に添付伝票にも選択するかどうか。
0：しない
1：する</t>
  </si>
  <si>
    <t>出張</t>
    <rPh sb="0" eb="2">
      <t>シュッチョウ</t>
    </rPh>
    <phoneticPr fontId="5"/>
  </si>
  <si>
    <t>差引項目名称</t>
    <rPh sb="0" eb="2">
      <t>サシヒキ</t>
    </rPh>
    <rPh sb="2" eb="4">
      <t>コウモク</t>
    </rPh>
    <rPh sb="4" eb="6">
      <t>メイショウ</t>
    </rPh>
    <phoneticPr fontId="5"/>
  </si>
  <si>
    <t>sashihiki_name</t>
    <phoneticPr fontId="5"/>
  </si>
  <si>
    <t>^.{0,10}$</t>
    <phoneticPr fontId="5"/>
  </si>
  <si>
    <t>SASHIHIKI_NAME</t>
    <phoneticPr fontId="5"/>
  </si>
  <si>
    <t>国内向け出張旅費精算および伺い申請の日当・宿泊費等の小計から差引かれる金額単価の名称。（10文字以内）</t>
    <rPh sb="0" eb="2">
      <t>コクナイ</t>
    </rPh>
    <rPh sb="2" eb="3">
      <t>ム</t>
    </rPh>
    <rPh sb="4" eb="6">
      <t>シュッチョウ</t>
    </rPh>
    <rPh sb="6" eb="8">
      <t>リョヒ</t>
    </rPh>
    <rPh sb="8" eb="10">
      <t>セイサン</t>
    </rPh>
    <rPh sb="13" eb="14">
      <t>ウカガ</t>
    </rPh>
    <rPh sb="15" eb="17">
      <t>シンセイ</t>
    </rPh>
    <rPh sb="18" eb="20">
      <t>ニットウ</t>
    </rPh>
    <rPh sb="21" eb="25">
      <t>シュクハクヒナド</t>
    </rPh>
    <rPh sb="26" eb="28">
      <t>ショウケイ</t>
    </rPh>
    <rPh sb="30" eb="32">
      <t>サシヒ</t>
    </rPh>
    <rPh sb="35" eb="37">
      <t>キンガク</t>
    </rPh>
    <rPh sb="37" eb="39">
      <t>タンカ</t>
    </rPh>
    <rPh sb="40" eb="42">
      <t>メイショウ</t>
    </rPh>
    <rPh sb="46" eb="48">
      <t>モジ</t>
    </rPh>
    <rPh sb="48" eb="50">
      <t>イナイ</t>
    </rPh>
    <phoneticPr fontId="5"/>
  </si>
  <si>
    <t>差引単価</t>
    <rPh sb="0" eb="2">
      <t>サシヒキ</t>
    </rPh>
    <rPh sb="2" eb="4">
      <t>タンカ</t>
    </rPh>
    <phoneticPr fontId="5"/>
  </si>
  <si>
    <t>sashihiki_tanka</t>
    <phoneticPr fontId="5"/>
  </si>
  <si>
    <t>SASHIHIKI_TANKA</t>
    <phoneticPr fontId="5"/>
  </si>
  <si>
    <t>国内向け出張旅費精算および伺い申請の日当・宿泊費等の小計から差引かれる金額単価。（0～999999）</t>
    <rPh sb="0" eb="2">
      <t>コクナイ</t>
    </rPh>
    <rPh sb="2" eb="3">
      <t>ム</t>
    </rPh>
    <rPh sb="4" eb="6">
      <t>シュッチョウ</t>
    </rPh>
    <rPh sb="6" eb="8">
      <t>リョヒ</t>
    </rPh>
    <rPh sb="8" eb="10">
      <t>セイサン</t>
    </rPh>
    <rPh sb="13" eb="14">
      <t>ウカガ</t>
    </rPh>
    <rPh sb="15" eb="17">
      <t>シンセイ</t>
    </rPh>
    <rPh sb="18" eb="20">
      <t>ニットウ</t>
    </rPh>
    <rPh sb="21" eb="25">
      <t>シュクハクヒナド</t>
    </rPh>
    <rPh sb="26" eb="28">
      <t>ショウケイ</t>
    </rPh>
    <rPh sb="30" eb="32">
      <t>サシヒ</t>
    </rPh>
    <rPh sb="35" eb="37">
      <t>キンガク</t>
    </rPh>
    <rPh sb="37" eb="39">
      <t>タンカ</t>
    </rPh>
    <phoneticPr fontId="5"/>
  </si>
  <si>
    <t>差引項目名称（海外）</t>
    <rPh sb="0" eb="2">
      <t>サシヒキ</t>
    </rPh>
    <rPh sb="2" eb="4">
      <t>コウモク</t>
    </rPh>
    <rPh sb="4" eb="6">
      <t>メイショウ</t>
    </rPh>
    <rPh sb="7" eb="9">
      <t>カイガイ</t>
    </rPh>
    <phoneticPr fontId="5"/>
  </si>
  <si>
    <t>sashihiki_name_kaigai</t>
    <phoneticPr fontId="5"/>
  </si>
  <si>
    <t>SASHIHIKI_NAME_KAIGAI</t>
    <phoneticPr fontId="5"/>
  </si>
  <si>
    <t>海外向け出張旅費精算および伺い申請の日当・宿泊費等の小計から差引かれる金額単価の名称。（10文字以内）</t>
    <rPh sb="0" eb="2">
      <t>カイガイ</t>
    </rPh>
    <rPh sb="2" eb="3">
      <t>ム</t>
    </rPh>
    <rPh sb="4" eb="6">
      <t>シュッチョウ</t>
    </rPh>
    <rPh sb="6" eb="8">
      <t>リョヒ</t>
    </rPh>
    <rPh sb="8" eb="10">
      <t>セイサン</t>
    </rPh>
    <rPh sb="13" eb="14">
      <t>ウカガ</t>
    </rPh>
    <rPh sb="15" eb="17">
      <t>シンセイ</t>
    </rPh>
    <rPh sb="18" eb="20">
      <t>ニットウ</t>
    </rPh>
    <rPh sb="21" eb="25">
      <t>シュクハクヒナド</t>
    </rPh>
    <rPh sb="26" eb="28">
      <t>ショウケイ</t>
    </rPh>
    <rPh sb="30" eb="32">
      <t>サシヒ</t>
    </rPh>
    <rPh sb="35" eb="37">
      <t>キンガク</t>
    </rPh>
    <rPh sb="37" eb="39">
      <t>タンカ</t>
    </rPh>
    <rPh sb="40" eb="42">
      <t>メイショウ</t>
    </rPh>
    <rPh sb="46" eb="48">
      <t>モジ</t>
    </rPh>
    <rPh sb="48" eb="50">
      <t>イナイ</t>
    </rPh>
    <phoneticPr fontId="5"/>
  </si>
  <si>
    <t>差引単価（海外）邦貨</t>
    <rPh sb="0" eb="2">
      <t>サシヒキ</t>
    </rPh>
    <rPh sb="2" eb="4">
      <t>タンカ</t>
    </rPh>
    <rPh sb="5" eb="7">
      <t>カイガイ</t>
    </rPh>
    <rPh sb="8" eb="10">
      <t>ホウカ</t>
    </rPh>
    <phoneticPr fontId="5"/>
  </si>
  <si>
    <t>sashihiki_tanka_kaigai</t>
    <phoneticPr fontId="5"/>
  </si>
  <si>
    <t>SASHIHIKI_TANKA_KAIGAI</t>
    <phoneticPr fontId="5"/>
  </si>
  <si>
    <t>海外向け出張旅費精算および伺い申請の日当・宿泊費等の小計から差引かれる金額単価(邦貨)。（0～999999）</t>
    <rPh sb="0" eb="2">
      <t>カイガイ</t>
    </rPh>
    <rPh sb="2" eb="3">
      <t>ム</t>
    </rPh>
    <rPh sb="4" eb="6">
      <t>シュッチョウ</t>
    </rPh>
    <rPh sb="6" eb="8">
      <t>リョヒ</t>
    </rPh>
    <rPh sb="8" eb="10">
      <t>セイサン</t>
    </rPh>
    <rPh sb="13" eb="14">
      <t>ウカガ</t>
    </rPh>
    <rPh sb="15" eb="17">
      <t>シンセイ</t>
    </rPh>
    <rPh sb="18" eb="20">
      <t>ニットウ</t>
    </rPh>
    <rPh sb="21" eb="25">
      <t>シュクハクヒナド</t>
    </rPh>
    <rPh sb="26" eb="28">
      <t>ショウケイ</t>
    </rPh>
    <rPh sb="30" eb="32">
      <t>サシヒ</t>
    </rPh>
    <rPh sb="35" eb="37">
      <t>キンガク</t>
    </rPh>
    <rPh sb="37" eb="39">
      <t>タンカ</t>
    </rPh>
    <phoneticPr fontId="5"/>
  </si>
  <si>
    <t>差引単価（海外）外貨</t>
    <rPh sb="0" eb="2">
      <t>サシヒキ</t>
    </rPh>
    <rPh sb="2" eb="4">
      <t>タンカ</t>
    </rPh>
    <rPh sb="5" eb="7">
      <t>カイガイ</t>
    </rPh>
    <rPh sb="8" eb="10">
      <t>ガイカ</t>
    </rPh>
    <phoneticPr fontId="5"/>
  </si>
  <si>
    <t>sashihiki_tanka_kaigai_gaika_heishu</t>
    <phoneticPr fontId="5"/>
  </si>
  <si>
    <t>([a-zA-Z0-9]{1,4})</t>
    <phoneticPr fontId="5"/>
  </si>
  <si>
    <t>SASHIHIKI_TANKA_KAIGAI_GAIKA_HEISHU</t>
    <phoneticPr fontId="5"/>
  </si>
  <si>
    <t>海外向け出張旅費精算および伺い申請の日当・宿泊費等の小計から差引かれる金額単価(外貨)の幣種コード。</t>
    <rPh sb="44" eb="45">
      <t>ヘイ</t>
    </rPh>
    <rPh sb="45" eb="46">
      <t>シュ</t>
    </rPh>
    <phoneticPr fontId="5"/>
  </si>
  <si>
    <t>sashihiki_tanka_kaigai_gaika</t>
    <phoneticPr fontId="5"/>
  </si>
  <si>
    <t>(0|[1-9]\d{0,5})(\.\d{0,2})?</t>
    <phoneticPr fontId="5"/>
  </si>
  <si>
    <t>SASHIHIKI_TANKA_KAIGAI_GAIKA</t>
    <phoneticPr fontId="5"/>
  </si>
  <si>
    <t>海外向け出張旅費精算および伺い申請の日当・宿泊費等の小計から差引かれる金額単価(外貨)。（0.00～999999.99）</t>
  </si>
  <si>
    <t>経費伺い（仮払）運用方法</t>
    <rPh sb="0" eb="2">
      <t>ケイヒ</t>
    </rPh>
    <rPh sb="2" eb="3">
      <t>ウカガ</t>
    </rPh>
    <rPh sb="5" eb="7">
      <t>カリバライ</t>
    </rPh>
    <rPh sb="8" eb="10">
      <t>ウンヨウ</t>
    </rPh>
    <rPh sb="10" eb="12">
      <t>ホウホウ</t>
    </rPh>
    <phoneticPr fontId="5"/>
  </si>
  <si>
    <t>申請期間チェック日数</t>
    <rPh sb="0" eb="2">
      <t>シンセイ</t>
    </rPh>
    <rPh sb="2" eb="4">
      <t>キカン</t>
    </rPh>
    <rPh sb="8" eb="9">
      <t>ビ</t>
    </rPh>
    <rPh sb="9" eb="10">
      <t>スウ</t>
    </rPh>
    <phoneticPr fontId="5"/>
  </si>
  <si>
    <t>keihi_shinsei_kikan_check_nissuu</t>
    <phoneticPr fontId="5"/>
  </si>
  <si>
    <t>KEIHI_SHINSEI_KIKAN_CHECK_NISSUU</t>
    <phoneticPr fontId="5"/>
  </si>
  <si>
    <t>申請期間チェック用の日数を指定します(1～999)。
0：使用しない</t>
    <rPh sb="0" eb="4">
      <t>シンセイキカン</t>
    </rPh>
    <rPh sb="8" eb="9">
      <t>ヨウ</t>
    </rPh>
    <rPh sb="10" eb="12">
      <t>ニッスウ</t>
    </rPh>
    <rPh sb="13" eb="15">
      <t>シテイ</t>
    </rPh>
    <rPh sb="29" eb="31">
      <t>シヨウ</t>
    </rPh>
    <phoneticPr fontId="5"/>
  </si>
  <si>
    <t>申請期間チェック文言</t>
    <rPh sb="0" eb="2">
      <t>シンセイ</t>
    </rPh>
    <rPh sb="2" eb="4">
      <t>キカン</t>
    </rPh>
    <rPh sb="8" eb="10">
      <t>モンゴン</t>
    </rPh>
    <phoneticPr fontId="5"/>
  </si>
  <si>
    <t>keihi_shinsei_kikan_check_mongon</t>
    <phoneticPr fontId="5"/>
  </si>
  <si>
    <t>申請が&lt;DAY&gt;日以内です！</t>
    <phoneticPr fontId="5"/>
  </si>
  <si>
    <t>KEIHI_SHINSEI_KIKAN_CHECK_MONGON</t>
    <phoneticPr fontId="5"/>
  </si>
  <si>
    <t>申請期間チェック用の文言を指定します。
&lt;DAY&gt;：申請期間チェック日数で指定した日数</t>
    <rPh sb="0" eb="4">
      <t>シンセイキカン</t>
    </rPh>
    <rPh sb="8" eb="9">
      <t>ヨウ</t>
    </rPh>
    <rPh sb="10" eb="12">
      <t>モンゴン</t>
    </rPh>
    <rPh sb="13" eb="15">
      <t>シテイ</t>
    </rPh>
    <rPh sb="26" eb="30">
      <t>シンセイキカン</t>
    </rPh>
    <rPh sb="34" eb="36">
      <t>ニッスウ</t>
    </rPh>
    <rPh sb="37" eb="39">
      <t>シテイ</t>
    </rPh>
    <rPh sb="41" eb="43">
      <t>ニッスウ</t>
    </rPh>
    <phoneticPr fontId="5"/>
  </si>
  <si>
    <t>仮払選択制御</t>
    <rPh sb="0" eb="2">
      <t>カリバライ</t>
    </rPh>
    <rPh sb="2" eb="4">
      <t>センタク</t>
    </rPh>
    <rPh sb="4" eb="6">
      <t>セイギョ</t>
    </rPh>
    <phoneticPr fontId="5"/>
  </si>
  <si>
    <t>keihi_karibarai_sentaku_seigyo</t>
    <phoneticPr fontId="5"/>
  </si>
  <si>
    <t>KEIHI_KARIBARAI_SENTAKU_SEIGYO</t>
    <phoneticPr fontId="5"/>
  </si>
  <si>
    <t>経費伺い申請(仮払申請)で仮払の表示を制御します。
0：「仮払なし」のみ選択可能
1：「仮払あり」のみ選択可能
2：「仮払あり・なし」両方とも選択可能</t>
    <rPh sb="0" eb="2">
      <t>ケイヒ</t>
    </rPh>
    <rPh sb="13" eb="15">
      <t>カリバライ</t>
    </rPh>
    <rPh sb="16" eb="18">
      <t>ヒョウジ</t>
    </rPh>
    <rPh sb="19" eb="21">
      <t>セイギョ</t>
    </rPh>
    <rPh sb="29" eb="31">
      <t>カリバライ</t>
    </rPh>
    <rPh sb="36" eb="40">
      <t>センタクカノウ</t>
    </rPh>
    <rPh sb="67" eb="69">
      <t>リョウホウ</t>
    </rPh>
    <phoneticPr fontId="5"/>
  </si>
  <si>
    <t>出張伺い（仮払）運用方法</t>
    <rPh sb="0" eb="2">
      <t>シュッチョウ</t>
    </rPh>
    <rPh sb="2" eb="3">
      <t>ウカガ</t>
    </rPh>
    <rPh sb="5" eb="7">
      <t>カリバライ</t>
    </rPh>
    <rPh sb="8" eb="10">
      <t>ウンヨウ</t>
    </rPh>
    <rPh sb="10" eb="12">
      <t>ホウホウ</t>
    </rPh>
    <phoneticPr fontId="5"/>
  </si>
  <si>
    <t>shinsei_kikan_check_nissuu</t>
    <phoneticPr fontId="5"/>
  </si>
  <si>
    <t>SHINSEI_KIKAN_CHECK_NISSUU</t>
    <phoneticPr fontId="5"/>
  </si>
  <si>
    <t>shinsei_kikan_check_mongon</t>
    <phoneticPr fontId="5"/>
  </si>
  <si>
    <t>SHINSEI_KIKAN_CHECK_MONGON</t>
    <phoneticPr fontId="5"/>
  </si>
  <si>
    <t>karibarai_sentaku_seigyo</t>
    <phoneticPr fontId="5"/>
  </si>
  <si>
    <t>KARIBARAI_SENTAKU_SEIGYO</t>
    <phoneticPr fontId="5"/>
  </si>
  <si>
    <t>出張伺い申請(仮払申請)で仮払の表示を制御します。
0：「仮払なし」のみ選択可能
1：「仮払あり」のみ選択可能
2：「仮払あり・なし」両方とも選択可能</t>
    <rPh sb="13" eb="15">
      <t>カリバライ</t>
    </rPh>
    <rPh sb="16" eb="18">
      <t>ヒョウジ</t>
    </rPh>
    <rPh sb="19" eb="21">
      <t>セイギョ</t>
    </rPh>
    <rPh sb="29" eb="31">
      <t>カリバライ</t>
    </rPh>
    <rPh sb="36" eb="40">
      <t>センタクカノウ</t>
    </rPh>
    <rPh sb="67" eb="69">
      <t>リョウホウ</t>
    </rPh>
    <phoneticPr fontId="5"/>
  </si>
  <si>
    <t>海外出張伺い（仮払）運用方法</t>
    <rPh sb="0" eb="2">
      <t>カイガイ</t>
    </rPh>
    <rPh sb="2" eb="4">
      <t>シュッチョウ</t>
    </rPh>
    <rPh sb="4" eb="5">
      <t>ウカガ</t>
    </rPh>
    <rPh sb="7" eb="9">
      <t>カリバライ</t>
    </rPh>
    <rPh sb="10" eb="12">
      <t>ウンヨウ</t>
    </rPh>
    <rPh sb="12" eb="14">
      <t>ホウホウ</t>
    </rPh>
    <phoneticPr fontId="5"/>
  </si>
  <si>
    <t>kaigai_shinsei_kikan_check_nissuu</t>
    <phoneticPr fontId="5"/>
  </si>
  <si>
    <t>KAIGAI_SHINSEI_KIKAN_CHECK_NISSUU</t>
    <phoneticPr fontId="5"/>
  </si>
  <si>
    <t>kaigai_shinsei_kikan_check_mongon_gai_</t>
    <phoneticPr fontId="5"/>
  </si>
  <si>
    <t>KAIGAI_SHINSEI_KIKAN_CHECK_MONGON</t>
    <phoneticPr fontId="5"/>
  </si>
  <si>
    <t>kaigai_karibarai_sentaku_seigyo_gai_</t>
    <phoneticPr fontId="5"/>
  </si>
  <si>
    <t>KAIGAI_KARIBARAI_SENTAKU_SEIGYO</t>
    <phoneticPr fontId="5"/>
  </si>
  <si>
    <t>海外出張伺い申請(仮払申請)で仮払の表示を制御します。
0：「仮払なし」のみ選択可能
1：「仮払あり」のみ選択可能
2：「仮払あり・なし」両方とも選択可能</t>
    <rPh sb="0" eb="2">
      <t>カイガイ</t>
    </rPh>
    <rPh sb="15" eb="17">
      <t>カリバライ</t>
    </rPh>
    <rPh sb="18" eb="20">
      <t>ヒョウジ</t>
    </rPh>
    <rPh sb="21" eb="23">
      <t>セイギョ</t>
    </rPh>
    <rPh sb="31" eb="33">
      <t>カリバライ</t>
    </rPh>
    <rPh sb="38" eb="42">
      <t>センタクカノウ</t>
    </rPh>
    <rPh sb="69" eb="71">
      <t>リョウホウ</t>
    </rPh>
    <phoneticPr fontId="5"/>
  </si>
  <si>
    <t>予算執行</t>
    <rPh sb="0" eb="2">
      <t>ヨサン</t>
    </rPh>
    <rPh sb="2" eb="4">
      <t>シッコウ</t>
    </rPh>
    <phoneticPr fontId="5"/>
  </si>
  <si>
    <t>予算チェック:判定コメント・予算内</t>
    <rPh sb="0" eb="2">
      <t>ヨサン</t>
    </rPh>
    <rPh sb="7" eb="9">
      <t>ハンテイ</t>
    </rPh>
    <rPh sb="14" eb="16">
      <t>ヨサン</t>
    </rPh>
    <rPh sb="16" eb="17">
      <t>ナイ</t>
    </rPh>
    <phoneticPr fontId="16"/>
  </si>
  <si>
    <t>yosan_comment_yosannai</t>
    <phoneticPr fontId="5"/>
  </si>
  <si>
    <t>◎</t>
    <phoneticPr fontId="5"/>
  </si>
  <si>
    <t>^.{1,15}$</t>
    <phoneticPr fontId="5"/>
  </si>
  <si>
    <t>YOSAN_COMMENT_YOSANNAI</t>
    <phoneticPr fontId="5"/>
  </si>
  <si>
    <t>チェックダイアログの判定欄に表示されるコメント。(15文字)</t>
    <phoneticPr fontId="5"/>
  </si>
  <si>
    <t>予算オプションなしなら予算執行タブ自体出さない</t>
    <rPh sb="0" eb="2">
      <t>ヨサン</t>
    </rPh>
    <rPh sb="11" eb="15">
      <t>ヨサンシッコウ</t>
    </rPh>
    <rPh sb="17" eb="19">
      <t>ジタイ</t>
    </rPh>
    <rPh sb="19" eb="20">
      <t>ダ</t>
    </rPh>
    <phoneticPr fontId="5"/>
  </si>
  <si>
    <t>予算チェック:判定コメント・超過</t>
    <rPh sb="0" eb="2">
      <t>ヨサン</t>
    </rPh>
    <rPh sb="7" eb="9">
      <t>ハンテイ</t>
    </rPh>
    <rPh sb="14" eb="16">
      <t>チョウカ</t>
    </rPh>
    <phoneticPr fontId="16"/>
  </si>
  <si>
    <t>yosan_comment_chouka</t>
    <phoneticPr fontId="5"/>
  </si>
  <si>
    <t>▲：コメントが必要です。</t>
    <phoneticPr fontId="5"/>
  </si>
  <si>
    <t>YOSAN_COMMENT_CHOUKA</t>
    <phoneticPr fontId="5"/>
  </si>
  <si>
    <t>予算チェック:超過判定％</t>
    <rPh sb="0" eb="2">
      <t>ヨサン</t>
    </rPh>
    <rPh sb="7" eb="9">
      <t>チョウカ</t>
    </rPh>
    <rPh sb="9" eb="11">
      <t>ハンテイ</t>
    </rPh>
    <phoneticPr fontId="16"/>
  </si>
  <si>
    <t>yosan_chouka_hantei</t>
    <phoneticPr fontId="5"/>
  </si>
  <si>
    <t>100</t>
    <phoneticPr fontId="5"/>
  </si>
  <si>
    <t>(0|[1-9]\d{0,1}|100)</t>
    <phoneticPr fontId="5"/>
  </si>
  <si>
    <t>YOSAN_CHOUKA_HANTEI</t>
    <phoneticPr fontId="5"/>
  </si>
  <si>
    <t>実績が予算の一定比率を超えたら超過と判定しコメントを強制する。
(コメントしないと申請できない)
0：超過判定なし
1～100：指定比率を超えたら超過を判定する</t>
    <rPh sb="6" eb="8">
      <t>イッテイ</t>
    </rPh>
    <rPh sb="8" eb="10">
      <t>ヒリツ</t>
    </rPh>
    <rPh sb="64" eb="66">
      <t>シテイ</t>
    </rPh>
    <rPh sb="66" eb="68">
      <t>ヒリツ</t>
    </rPh>
    <rPh sb="69" eb="70">
      <t>コ</t>
    </rPh>
    <rPh sb="73" eb="75">
      <t>チョウカ</t>
    </rPh>
    <rPh sb="76" eb="78">
      <t>ハンテイ</t>
    </rPh>
    <phoneticPr fontId="5"/>
  </si>
  <si>
    <t>予算チェック:予算番号</t>
    <rPh sb="0" eb="2">
      <t>ヨサン</t>
    </rPh>
    <rPh sb="7" eb="9">
      <t>ヨサン</t>
    </rPh>
    <rPh sb="9" eb="11">
      <t>バンゴウ</t>
    </rPh>
    <phoneticPr fontId="16"/>
  </si>
  <si>
    <t>yosan_yosan_no</t>
    <phoneticPr fontId="5"/>
  </si>
  <si>
    <t>YOSAN_YOSAN_NO</t>
    <phoneticPr fontId="5"/>
  </si>
  <si>
    <t>会計システムと連動する予算番号を指定します。</t>
    <rPh sb="11" eb="13">
      <t>ヨサン</t>
    </rPh>
    <phoneticPr fontId="5"/>
  </si>
  <si>
    <t>起案チェック:判定コメント・予算内</t>
    <rPh sb="0" eb="2">
      <t>キアン</t>
    </rPh>
    <rPh sb="7" eb="9">
      <t>ハンテイ</t>
    </rPh>
    <rPh sb="14" eb="16">
      <t>ヨサン</t>
    </rPh>
    <rPh sb="16" eb="17">
      <t>ナイ</t>
    </rPh>
    <phoneticPr fontId="16"/>
  </si>
  <si>
    <t>kian_comment_yosannai</t>
    <phoneticPr fontId="5"/>
  </si>
  <si>
    <t>KIAN_COMMENT_YOSANNAI</t>
    <phoneticPr fontId="5"/>
  </si>
  <si>
    <t>起案チェック:判定コメント・超過</t>
    <rPh sb="7" eb="9">
      <t>ハンテイ</t>
    </rPh>
    <rPh sb="14" eb="16">
      <t>チョウカ</t>
    </rPh>
    <phoneticPr fontId="16"/>
  </si>
  <si>
    <t>kian_comment_chouka</t>
    <phoneticPr fontId="5"/>
  </si>
  <si>
    <t>KIAN_COMMENT_CHOUKA</t>
    <phoneticPr fontId="5"/>
  </si>
  <si>
    <t>起案チェック:超過判定％</t>
    <rPh sb="7" eb="9">
      <t>チョウカ</t>
    </rPh>
    <rPh sb="9" eb="11">
      <t>ハンテイ</t>
    </rPh>
    <phoneticPr fontId="16"/>
  </si>
  <si>
    <t>kian_chouka_hantei</t>
    <phoneticPr fontId="5"/>
  </si>
  <si>
    <t>(0|[1-9]|[1-9]\d|100)</t>
    <phoneticPr fontId="5"/>
  </si>
  <si>
    <t>KIAN_CHOUKA_HANTEI</t>
    <phoneticPr fontId="5"/>
  </si>
  <si>
    <t>起案番号のHF転記先①略号</t>
    <rPh sb="11" eb="13">
      <t>リャクゴウ</t>
    </rPh>
    <phoneticPr fontId="5"/>
  </si>
  <si>
    <t>kian_no_hanei_ryakugou</t>
    <phoneticPr fontId="5"/>
  </si>
  <si>
    <t>(0|[1-9]|10)</t>
    <phoneticPr fontId="5"/>
  </si>
  <si>
    <t>KIAN_NO_HANEI_RYAKUGOU</t>
    <phoneticPr fontId="5"/>
  </si>
  <si>
    <t>起案番号(略号)を仕訳連動する際のヘッダーフィールド番号を指定する。
0：反映しない
1～10：ヘッダーフィールド１～１０に反映する</t>
    <rPh sb="5" eb="7">
      <t>リャクゴウ</t>
    </rPh>
    <phoneticPr fontId="5"/>
  </si>
  <si>
    <t>起案番号のHF転記先②番号</t>
    <rPh sb="11" eb="13">
      <t>バンゴウ</t>
    </rPh>
    <phoneticPr fontId="5"/>
  </si>
  <si>
    <t>kian_no_hanei_bangou</t>
    <phoneticPr fontId="5"/>
  </si>
  <si>
    <t>KIAN_NO_HANEI_BANGOU</t>
    <phoneticPr fontId="5"/>
  </si>
  <si>
    <t>起案番号(番号)を仕訳連動する際のヘッダーフィールド番号を指定する。
0：反映しない
1～10：ヘッダーフィールド１～１０に反映する</t>
    <rPh sb="5" eb="6">
      <t>バン</t>
    </rPh>
    <rPh sb="6" eb="7">
      <t>ゴウ</t>
    </rPh>
    <phoneticPr fontId="5"/>
  </si>
  <si>
    <t>セキュリティパターン</t>
    <phoneticPr fontId="5"/>
  </si>
  <si>
    <t>yosan_security_pattern</t>
    <phoneticPr fontId="5"/>
  </si>
  <si>
    <t>\d{1,4}</t>
    <phoneticPr fontId="5"/>
  </si>
  <si>
    <t>YOSAN_SECURITY_PATTERN</t>
    <phoneticPr fontId="5"/>
  </si>
  <si>
    <t>予算執行管理の対象となる科目と部門が設定されている会計システムのセキュリティパターン番号を登録します。</t>
    <rPh sb="0" eb="2">
      <t>ヨサン</t>
    </rPh>
    <rPh sb="2" eb="4">
      <t>シッコウ</t>
    </rPh>
    <rPh sb="4" eb="6">
      <t>カンリ</t>
    </rPh>
    <rPh sb="7" eb="9">
      <t>タイショウ</t>
    </rPh>
    <rPh sb="12" eb="14">
      <t>カモク</t>
    </rPh>
    <rPh sb="15" eb="17">
      <t>ブモン</t>
    </rPh>
    <rPh sb="18" eb="20">
      <t>セッテイ</t>
    </rPh>
    <rPh sb="25" eb="27">
      <t>カイケイ</t>
    </rPh>
    <rPh sb="42" eb="44">
      <t>バンゴウ</t>
    </rPh>
    <rPh sb="45" eb="47">
      <t>トウロク</t>
    </rPh>
    <phoneticPr fontId="5"/>
  </si>
  <si>
    <t>合議部署の予算確認設定</t>
    <phoneticPr fontId="5"/>
  </si>
  <si>
    <t>gougi_yosan_kakunin</t>
    <phoneticPr fontId="5"/>
  </si>
  <si>
    <t>GOUGI_YOSAN_KAKUNIN</t>
    <phoneticPr fontId="5"/>
  </si>
  <si>
    <t>合議部署メンバーに予算・起案の詳細参照を許可するか。
0：しない
1：する</t>
    <rPh sb="0" eb="2">
      <t>ゴウギ</t>
    </rPh>
    <rPh sb="2" eb="4">
      <t>ブショ</t>
    </rPh>
    <rPh sb="9" eb="11">
      <t>ヨサン</t>
    </rPh>
    <rPh sb="12" eb="14">
      <t>キアン</t>
    </rPh>
    <rPh sb="15" eb="17">
      <t>ショウサイ</t>
    </rPh>
    <rPh sb="17" eb="19">
      <t>サンショウ</t>
    </rPh>
    <rPh sb="20" eb="22">
      <t>キョカ</t>
    </rPh>
    <phoneticPr fontId="5"/>
  </si>
  <si>
    <t>予算チェック粒度</t>
    <rPh sb="0" eb="2">
      <t>ヨサン</t>
    </rPh>
    <rPh sb="6" eb="8">
      <t>リュウド</t>
    </rPh>
    <phoneticPr fontId="5"/>
  </si>
  <si>
    <t>yosan_check_tani</t>
    <phoneticPr fontId="5"/>
  </si>
  <si>
    <t>YOSAN_CHECK_TANI</t>
    <phoneticPr fontId="5"/>
  </si>
  <si>
    <t>予算および起案金額のチェック粒度
0：部門単位
1：部門、科目単位</t>
    <rPh sb="0" eb="2">
      <t>ヨサン</t>
    </rPh>
    <rPh sb="5" eb="7">
      <t>キアン</t>
    </rPh>
    <rPh sb="7" eb="9">
      <t>キンガク</t>
    </rPh>
    <rPh sb="14" eb="16">
      <t>リュウド</t>
    </rPh>
    <rPh sb="19" eb="21">
      <t>ブモン</t>
    </rPh>
    <rPh sb="21" eb="23">
      <t>タンイ</t>
    </rPh>
    <rPh sb="26" eb="28">
      <t>ブモン</t>
    </rPh>
    <rPh sb="29" eb="31">
      <t>カモク</t>
    </rPh>
    <rPh sb="31" eb="33">
      <t>タンイ</t>
    </rPh>
    <phoneticPr fontId="5"/>
  </si>
  <si>
    <t>予算チェック期間</t>
    <rPh sb="0" eb="2">
      <t>ヨサン</t>
    </rPh>
    <rPh sb="6" eb="8">
      <t>キカン</t>
    </rPh>
    <phoneticPr fontId="5"/>
  </si>
  <si>
    <t>yosan_check_kikan</t>
    <phoneticPr fontId="5"/>
  </si>
  <si>
    <t>YOSAN_CHECK_KIKAN</t>
    <phoneticPr fontId="5"/>
  </si>
  <si>
    <t>予算のチェック期間を指定する。
0：通年
1：期首～予算執行対象月まで</t>
    <rPh sb="0" eb="2">
      <t>ヨサン</t>
    </rPh>
    <rPh sb="7" eb="9">
      <t>キカン</t>
    </rPh>
    <rPh sb="10" eb="12">
      <t>シテイ</t>
    </rPh>
    <rPh sb="18" eb="20">
      <t>ツウネン</t>
    </rPh>
    <rPh sb="23" eb="25">
      <t>キシュ</t>
    </rPh>
    <rPh sb="26" eb="28">
      <t>ヨサン</t>
    </rPh>
    <rPh sb="28" eb="30">
      <t>シッコウ</t>
    </rPh>
    <rPh sb="30" eb="32">
      <t>タイショウ</t>
    </rPh>
    <rPh sb="32" eb="33">
      <t>ヅキ</t>
    </rPh>
    <phoneticPr fontId="5"/>
  </si>
  <si>
    <t>予算・起案チェックコメント表示制御</t>
    <rPh sb="0" eb="2">
      <t>ヨサン</t>
    </rPh>
    <rPh sb="3" eb="5">
      <t>キアン</t>
    </rPh>
    <rPh sb="13" eb="17">
      <t>ヒョウジセイギョ</t>
    </rPh>
    <phoneticPr fontId="23"/>
  </si>
  <si>
    <t>yosan_kian_comment</t>
  </si>
  <si>
    <t>YOSAN_KIAN_COMMNENT</t>
  </si>
  <si>
    <t>予算・起案チェックコメントを帳票に表示させるかどうか指定する。
0：表示しない
1：表示する</t>
    <rPh sb="14" eb="16">
      <t>チョウヒョウ</t>
    </rPh>
    <rPh sb="17" eb="19">
      <t>ヒョウジ</t>
    </rPh>
    <rPh sb="26" eb="28">
      <t>シテイ</t>
    </rPh>
    <rPh sb="34" eb="36">
      <t>ヒョウジ</t>
    </rPh>
    <rPh sb="42" eb="44">
      <t>ヒョウジ</t>
    </rPh>
    <phoneticPr fontId="23"/>
  </si>
  <si>
    <t>支払依頼申請</t>
    <phoneticPr fontId="5"/>
  </si>
  <si>
    <t>控除項目　項目名称</t>
    <rPh sb="5" eb="7">
      <t>コウモク</t>
    </rPh>
    <rPh sb="7" eb="9">
      <t>メイショウ</t>
    </rPh>
    <phoneticPr fontId="5"/>
  </si>
  <si>
    <t>manekin_name</t>
    <phoneticPr fontId="5"/>
  </si>
  <si>
    <t>MANEKIN_NAME</t>
    <phoneticPr fontId="5"/>
  </si>
  <si>
    <t>控除項目の項目名。</t>
    <rPh sb="5" eb="8">
      <t>コウモクメイ</t>
    </rPh>
    <phoneticPr fontId="5"/>
  </si>
  <si>
    <t>控除項目　勘定科目コード</t>
    <rPh sb="5" eb="7">
      <t>カンジョウ</t>
    </rPh>
    <rPh sb="7" eb="9">
      <t>カモク</t>
    </rPh>
    <phoneticPr fontId="5"/>
  </si>
  <si>
    <t>manekin_cd</t>
    <phoneticPr fontId="5"/>
  </si>
  <si>
    <t>MANEKIN_CD</t>
    <phoneticPr fontId="5"/>
  </si>
  <si>
    <t>控除項目の仕訳を作成する際に必要な勘定科目コード。</t>
    <rPh sb="5" eb="7">
      <t>シワケ</t>
    </rPh>
    <rPh sb="8" eb="10">
      <t>サクセイ</t>
    </rPh>
    <rPh sb="12" eb="13">
      <t>サイ</t>
    </rPh>
    <rPh sb="14" eb="16">
      <t>ヒツヨウ</t>
    </rPh>
    <rPh sb="17" eb="19">
      <t>カンジョウ</t>
    </rPh>
    <rPh sb="19" eb="21">
      <t>カモク</t>
    </rPh>
    <phoneticPr fontId="5"/>
  </si>
  <si>
    <t>控除項目　勘定科目枝番コード</t>
    <rPh sb="9" eb="11">
      <t>エダバン</t>
    </rPh>
    <phoneticPr fontId="5"/>
  </si>
  <si>
    <t>manekin_edaban</t>
    <phoneticPr fontId="5"/>
  </si>
  <si>
    <t>MANEKIN_EDABAN</t>
    <phoneticPr fontId="5"/>
  </si>
  <si>
    <t>控除項目の仕訳を作成する際に必要な勘定科目枝番コード。</t>
    <rPh sb="5" eb="7">
      <t>シワケ</t>
    </rPh>
    <rPh sb="8" eb="10">
      <t>サクセイ</t>
    </rPh>
    <rPh sb="12" eb="13">
      <t>サイ</t>
    </rPh>
    <rPh sb="14" eb="16">
      <t>ヒツヨウ</t>
    </rPh>
    <rPh sb="17" eb="19">
      <t>カンジョウ</t>
    </rPh>
    <rPh sb="19" eb="21">
      <t>カモク</t>
    </rPh>
    <rPh sb="21" eb="23">
      <t>エダバン</t>
    </rPh>
    <phoneticPr fontId="5"/>
  </si>
  <si>
    <t>控除項目　負担部門コード</t>
    <rPh sb="5" eb="7">
      <t>フタン</t>
    </rPh>
    <rPh sb="7" eb="9">
      <t>ブモン</t>
    </rPh>
    <phoneticPr fontId="5"/>
  </si>
  <si>
    <t>manekin_bumon</t>
    <phoneticPr fontId="5"/>
  </si>
  <si>
    <t>MANEKIN_BUMON</t>
    <phoneticPr fontId="5"/>
  </si>
  <si>
    <t>控除項目の仕訳を作成する際に必要な負担部門コード。</t>
    <rPh sb="0" eb="2">
      <t>コウジョ</t>
    </rPh>
    <rPh sb="2" eb="4">
      <t>コウモク</t>
    </rPh>
    <rPh sb="5" eb="7">
      <t>シワケ</t>
    </rPh>
    <rPh sb="8" eb="10">
      <t>サクセイ</t>
    </rPh>
    <rPh sb="12" eb="13">
      <t>サイ</t>
    </rPh>
    <rPh sb="14" eb="16">
      <t>ヒツヨウ</t>
    </rPh>
    <rPh sb="17" eb="19">
      <t>フタン</t>
    </rPh>
    <rPh sb="19" eb="21">
      <t>ブモン</t>
    </rPh>
    <phoneticPr fontId="5"/>
  </si>
  <si>
    <t>一見先　取引先コード</t>
    <rPh sb="0" eb="2">
      <t>イチゲン</t>
    </rPh>
    <rPh sb="2" eb="3">
      <t>サキ</t>
    </rPh>
    <rPh sb="4" eb="7">
      <t>トリヒキサキ</t>
    </rPh>
    <phoneticPr fontId="5"/>
  </si>
  <si>
    <t>ichigen_cd</t>
    <phoneticPr fontId="5"/>
  </si>
  <si>
    <t>ICHIGEN_CD</t>
    <phoneticPr fontId="5"/>
  </si>
  <si>
    <t>一見取引先を表す取引先コード。</t>
    <rPh sb="0" eb="2">
      <t>イチゲン</t>
    </rPh>
    <rPh sb="2" eb="5">
      <t>トリヒキサキ</t>
    </rPh>
    <rPh sb="6" eb="7">
      <t>アラワ</t>
    </rPh>
    <rPh sb="8" eb="10">
      <t>トリヒキ</t>
    </rPh>
    <rPh sb="10" eb="11">
      <t>サキ</t>
    </rPh>
    <phoneticPr fontId="5"/>
  </si>
  <si>
    <t>一見先　振込手数料</t>
    <rPh sb="0" eb="2">
      <t>イチゲン</t>
    </rPh>
    <rPh sb="2" eb="3">
      <t>サキ</t>
    </rPh>
    <rPh sb="4" eb="6">
      <t>フリコミ</t>
    </rPh>
    <rPh sb="6" eb="9">
      <t>テスウリョウ</t>
    </rPh>
    <phoneticPr fontId="38"/>
  </si>
  <si>
    <t>ichigen_tesuuryou</t>
    <phoneticPr fontId="5"/>
  </si>
  <si>
    <t>\d{1,4}(,)\d{1,4}(,)\d{1,4}(,)\d{1,4}</t>
    <phoneticPr fontId="5"/>
  </si>
  <si>
    <t>ICHIGEN_TESUURYOU</t>
    <phoneticPr fontId="5"/>
  </si>
  <si>
    <t>一見先　振込手数料勘定科目コード</t>
    <rPh sb="0" eb="2">
      <t>イチゲン</t>
    </rPh>
    <rPh sb="2" eb="3">
      <t>サキ</t>
    </rPh>
    <rPh sb="4" eb="6">
      <t>フリコミ</t>
    </rPh>
    <rPh sb="6" eb="9">
      <t>テスウリョウ</t>
    </rPh>
    <rPh sb="9" eb="13">
      <t>カンジョウカモク</t>
    </rPh>
    <phoneticPr fontId="38"/>
  </si>
  <si>
    <t>ichigen_tesuuryou_kamoku_cd</t>
    <phoneticPr fontId="5"/>
  </si>
  <si>
    <t>ICHIGEN_TESUURYOU_KAMOKU_CD</t>
    <phoneticPr fontId="5"/>
  </si>
  <si>
    <t>一見先取引先への振込手数料仕訳を作成する際に必要な勘定科目コード</t>
    <rPh sb="0" eb="2">
      <t>イッケン</t>
    </rPh>
    <rPh sb="2" eb="3">
      <t>サキ</t>
    </rPh>
    <rPh sb="3" eb="5">
      <t>トリヒキ</t>
    </rPh>
    <rPh sb="5" eb="6">
      <t>サキ</t>
    </rPh>
    <rPh sb="8" eb="10">
      <t>フリコミ</t>
    </rPh>
    <rPh sb="10" eb="13">
      <t>テスウリョウ</t>
    </rPh>
    <rPh sb="13" eb="15">
      <t>シワケ</t>
    </rPh>
    <rPh sb="16" eb="18">
      <t>サクセイ</t>
    </rPh>
    <rPh sb="20" eb="21">
      <t>サイ</t>
    </rPh>
    <rPh sb="22" eb="24">
      <t>ヒツヨウ</t>
    </rPh>
    <rPh sb="25" eb="27">
      <t>カンジョウ</t>
    </rPh>
    <rPh sb="27" eb="29">
      <t>カモク</t>
    </rPh>
    <phoneticPr fontId="5"/>
  </si>
  <si>
    <t>一見先　振込手数料勘定科目枝番コード</t>
    <rPh sb="0" eb="2">
      <t>イチゲン</t>
    </rPh>
    <rPh sb="2" eb="3">
      <t>サキ</t>
    </rPh>
    <rPh sb="4" eb="6">
      <t>フリコミ</t>
    </rPh>
    <rPh sb="6" eb="9">
      <t>テスウリョウ</t>
    </rPh>
    <rPh sb="13" eb="15">
      <t>エダバン</t>
    </rPh>
    <phoneticPr fontId="38"/>
  </si>
  <si>
    <t>ichigen_tesuuryou_edaban_cd</t>
    <phoneticPr fontId="5"/>
  </si>
  <si>
    <t>ICHIGEN_TESUURYOU_EDABAN_CD</t>
    <phoneticPr fontId="5"/>
  </si>
  <si>
    <t>一見先取引先への振込手数料仕訳を作成する際に必要な勘定科目枝番コード</t>
    <rPh sb="0" eb="2">
      <t>イッケン</t>
    </rPh>
    <rPh sb="2" eb="3">
      <t>サキ</t>
    </rPh>
    <rPh sb="3" eb="5">
      <t>トリヒキ</t>
    </rPh>
    <rPh sb="5" eb="6">
      <t>サキ</t>
    </rPh>
    <rPh sb="8" eb="10">
      <t>フリコミ</t>
    </rPh>
    <rPh sb="10" eb="13">
      <t>テスウリョウ</t>
    </rPh>
    <rPh sb="13" eb="15">
      <t>シワケ</t>
    </rPh>
    <rPh sb="16" eb="18">
      <t>サクセイ</t>
    </rPh>
    <rPh sb="20" eb="21">
      <t>サイ</t>
    </rPh>
    <rPh sb="22" eb="24">
      <t>ヒツヨウ</t>
    </rPh>
    <rPh sb="25" eb="27">
      <t>カンジョウ</t>
    </rPh>
    <rPh sb="27" eb="29">
      <t>カモク</t>
    </rPh>
    <rPh sb="29" eb="31">
      <t>エダバン</t>
    </rPh>
    <phoneticPr fontId="5"/>
  </si>
  <si>
    <t>一見先　振込手数料負担部門コード</t>
    <rPh sb="0" eb="2">
      <t>イッケン</t>
    </rPh>
    <rPh sb="2" eb="3">
      <t>サキ</t>
    </rPh>
    <rPh sb="4" eb="6">
      <t>フリコミ</t>
    </rPh>
    <rPh sb="6" eb="9">
      <t>テスウリョウ</t>
    </rPh>
    <rPh sb="9" eb="11">
      <t>フタン</t>
    </rPh>
    <rPh sb="11" eb="13">
      <t>ブモン</t>
    </rPh>
    <phoneticPr fontId="38"/>
  </si>
  <si>
    <t>ichigen_tesuuryou_bumon_cd</t>
    <phoneticPr fontId="5"/>
  </si>
  <si>
    <t>ICHIGEN_TESUURYOU_BUMON_CD</t>
    <phoneticPr fontId="5"/>
  </si>
  <si>
    <t>一見先取引先への振込手数料仕訳を作成する際に必要な負担部門コード
任意部門を指定する場合、「&lt;FUTAN&gt;」を入力。
代表部門を指定する場合、「&lt;DAIHYOUBUMON&gt;」を入力。</t>
    <rPh sb="0" eb="2">
      <t>イッケン</t>
    </rPh>
    <rPh sb="2" eb="3">
      <t>サキ</t>
    </rPh>
    <rPh sb="3" eb="5">
      <t>トリヒキ</t>
    </rPh>
    <rPh sb="5" eb="6">
      <t>サキ</t>
    </rPh>
    <rPh sb="8" eb="10">
      <t>フリコミ</t>
    </rPh>
    <rPh sb="10" eb="13">
      <t>テスウリョウ</t>
    </rPh>
    <rPh sb="13" eb="15">
      <t>シワケ</t>
    </rPh>
    <rPh sb="16" eb="18">
      <t>サクセイ</t>
    </rPh>
    <rPh sb="20" eb="21">
      <t>サイ</t>
    </rPh>
    <rPh sb="22" eb="24">
      <t>ヒツヨウ</t>
    </rPh>
    <rPh sb="33" eb="35">
      <t>ニンイ</t>
    </rPh>
    <rPh sb="35" eb="37">
      <t>ブモン</t>
    </rPh>
    <rPh sb="38" eb="40">
      <t>シテイ</t>
    </rPh>
    <rPh sb="42" eb="44">
      <t>バアイ</t>
    </rPh>
    <rPh sb="55" eb="57">
      <t>ニュウリョク</t>
    </rPh>
    <phoneticPr fontId="5"/>
  </si>
  <si>
    <t>一見先　振込手数料負担部門コードの任意部門の判断基準</t>
    <rPh sb="0" eb="2">
      <t>イチゲン</t>
    </rPh>
    <rPh sb="2" eb="3">
      <t>サキ</t>
    </rPh>
    <rPh sb="4" eb="6">
      <t>フリコミ</t>
    </rPh>
    <rPh sb="6" eb="9">
      <t>テスウリョウ</t>
    </rPh>
    <rPh sb="9" eb="11">
      <t>フタン</t>
    </rPh>
    <rPh sb="11" eb="13">
      <t>ブモン</t>
    </rPh>
    <rPh sb="17" eb="19">
      <t>ニンイ</t>
    </rPh>
    <rPh sb="19" eb="21">
      <t>ブモン</t>
    </rPh>
    <rPh sb="22" eb="24">
      <t>ハンダン</t>
    </rPh>
    <rPh sb="24" eb="26">
      <t>キジュン</t>
    </rPh>
    <phoneticPr fontId="38"/>
  </si>
  <si>
    <t>ichigen_tesuuryou_bumon_cd_nini_bumon_hantei</t>
    <phoneticPr fontId="5"/>
  </si>
  <si>
    <t>ICHIGEN_TESUURYOU_BUMON_CD_NINI_BUMON_HANTEI</t>
    <phoneticPr fontId="5"/>
  </si>
  <si>
    <t>一見先　振込手数料負担部門コードに任意部門を指定する場合、どの明細の負担部門を使用するか。
1：金額最大値の明細
2：先頭行の明細</t>
    <phoneticPr fontId="5"/>
  </si>
  <si>
    <t>未払い不定期　貸方科目コード</t>
    <phoneticPr fontId="5"/>
  </si>
  <si>
    <t>kashikatakamoku_cd_mibarai_futeiki</t>
    <phoneticPr fontId="5"/>
  </si>
  <si>
    <t>KASHIKATAKAMOKU_CD_MIBARAI_FUTEIKI</t>
    <phoneticPr fontId="5"/>
  </si>
  <si>
    <t>未払い不定期に振分ける貸方科目コード</t>
    <phoneticPr fontId="5"/>
  </si>
  <si>
    <t>未払い定期　　貸方科目コード</t>
    <phoneticPr fontId="5"/>
  </si>
  <si>
    <t>kashikatakamoku_cd_mibarai_teiki</t>
    <phoneticPr fontId="5"/>
  </si>
  <si>
    <t>KASHIKATAKAMOKU_CD_MIBARAI_TEIKI</t>
    <phoneticPr fontId="5"/>
  </si>
  <si>
    <t>未払い定期に振分ける貸方科目コード</t>
    <phoneticPr fontId="5"/>
  </si>
  <si>
    <t>設備未払い　　貸方科目コード</t>
    <phoneticPr fontId="5"/>
  </si>
  <si>
    <t>kashikatakamoku_cd_setsubi_mibarai</t>
    <phoneticPr fontId="5"/>
  </si>
  <si>
    <t>KASHIKATAKAMOKU_CD_SETSUBI_MIBARAI</t>
    <phoneticPr fontId="5"/>
  </si>
  <si>
    <t>設備未払いに振分ける貸方科目コード</t>
    <phoneticPr fontId="5"/>
  </si>
  <si>
    <t>その他</t>
    <rPh sb="2" eb="3">
      <t>タ</t>
    </rPh>
    <phoneticPr fontId="5"/>
  </si>
  <si>
    <t>部門コード桁数</t>
    <phoneticPr fontId="5"/>
  </si>
  <si>
    <t>bumon_cd_ketasuu</t>
    <phoneticPr fontId="5"/>
  </si>
  <si>
    <t>[4-8]</t>
    <phoneticPr fontId="5"/>
  </si>
  <si>
    <t>BUMON_CD_KETASUU</t>
    <phoneticPr fontId="5"/>
  </si>
  <si>
    <t>所属部門の部門コードの桁数。
登録や更新時にこの定義の桁数でのみ登録可能とする。
4～8を設定する。</t>
    <rPh sb="0" eb="2">
      <t>ショゾク</t>
    </rPh>
    <rPh sb="2" eb="4">
      <t>ブモン</t>
    </rPh>
    <rPh sb="5" eb="7">
      <t>ブモン</t>
    </rPh>
    <rPh sb="11" eb="13">
      <t>ケタスウ</t>
    </rPh>
    <rPh sb="15" eb="17">
      <t>トウロク</t>
    </rPh>
    <rPh sb="18" eb="20">
      <t>コウシン</t>
    </rPh>
    <rPh sb="20" eb="21">
      <t>ジ</t>
    </rPh>
    <rPh sb="24" eb="26">
      <t>テイギ</t>
    </rPh>
    <rPh sb="27" eb="29">
      <t>ケタスウ</t>
    </rPh>
    <rPh sb="32" eb="34">
      <t>トウロク</t>
    </rPh>
    <rPh sb="34" eb="36">
      <t>カノウ</t>
    </rPh>
    <rPh sb="45" eb="47">
      <t>セッテイ</t>
    </rPh>
    <phoneticPr fontId="5"/>
  </si>
  <si>
    <t>１ページ表示件数</t>
    <rPh sb="4" eb="6">
      <t>ヒョウジ</t>
    </rPh>
    <rPh sb="6" eb="8">
      <t>ケンスウ</t>
    </rPh>
    <phoneticPr fontId="5"/>
  </si>
  <si>
    <t>record_num_per_page</t>
    <phoneticPr fontId="5"/>
  </si>
  <si>
    <t>50</t>
    <phoneticPr fontId="5"/>
  </si>
  <si>
    <t>[1-9]\d{0,2}</t>
    <phoneticPr fontId="5"/>
  </si>
  <si>
    <t>一覧画面の1ページ表示可能件数（1～999）。</t>
    <rPh sb="0" eb="2">
      <t>イチラン</t>
    </rPh>
    <rPh sb="2" eb="4">
      <t>ガメン</t>
    </rPh>
    <rPh sb="9" eb="11">
      <t>ヒョウジ</t>
    </rPh>
    <rPh sb="11" eb="13">
      <t>カノウ</t>
    </rPh>
    <rPh sb="13" eb="15">
      <t>ケンスウ</t>
    </rPh>
    <phoneticPr fontId="5"/>
  </si>
  <si>
    <t>１ページ表示件数(取引先選択)</t>
    <rPh sb="4" eb="6">
      <t>ヒョウジ</t>
    </rPh>
    <rPh sb="6" eb="8">
      <t>ケンスウ</t>
    </rPh>
    <rPh sb="9" eb="11">
      <t>トリヒキ</t>
    </rPh>
    <rPh sb="11" eb="12">
      <t>サキ</t>
    </rPh>
    <rPh sb="12" eb="14">
      <t>センタク</t>
    </rPh>
    <phoneticPr fontId="5"/>
  </si>
  <si>
    <t>record_num_per_page_torihikisaki</t>
    <phoneticPr fontId="5"/>
  </si>
  <si>
    <t>[1-9]\d{0,3}</t>
    <phoneticPr fontId="5"/>
  </si>
  <si>
    <t>取引先選択子画面の1ページ表示可能件数（1～9999）。</t>
    <phoneticPr fontId="5"/>
  </si>
  <si>
    <t>ダウンロードファイル件数</t>
    <rPh sb="10" eb="12">
      <t>ケンスウ</t>
    </rPh>
    <phoneticPr fontId="5"/>
  </si>
  <si>
    <t>file_num_for_download</t>
    <phoneticPr fontId="5"/>
  </si>
  <si>
    <t>300</t>
    <phoneticPr fontId="5"/>
  </si>
  <si>
    <t>ファイルの一括ダウンロード最大件数（1～9999）。</t>
    <rPh sb="5" eb="7">
      <t>イッカツ</t>
    </rPh>
    <rPh sb="13" eb="15">
      <t>サイダイ</t>
    </rPh>
    <rPh sb="15" eb="17">
      <t>ケンスウ</t>
    </rPh>
    <phoneticPr fontId="5"/>
  </si>
  <si>
    <t>データ保存日数(WF一般)</t>
    <rPh sb="3" eb="5">
      <t>ホゾン</t>
    </rPh>
    <rPh sb="5" eb="7">
      <t>ニッスウ</t>
    </rPh>
    <rPh sb="10" eb="12">
      <t>イッパン</t>
    </rPh>
    <phoneticPr fontId="5"/>
  </si>
  <si>
    <t>data_hozon_nissuu</t>
    <phoneticPr fontId="5"/>
  </si>
  <si>
    <t>3000</t>
    <phoneticPr fontId="5"/>
  </si>
  <si>
    <t>[1-9]\d{2,3}</t>
    <phoneticPr fontId="5"/>
  </si>
  <si>
    <t>DATA_HOZON_NISSUU</t>
    <phoneticPr fontId="5"/>
  </si>
  <si>
    <t>データをどれだけ保存するか(WF一般)を決める基準日数（100～9999）。
削除しない場合はブランク。</t>
    <rPh sb="8" eb="10">
      <t>ホゾン</t>
    </rPh>
    <rPh sb="20" eb="21">
      <t>キ</t>
    </rPh>
    <rPh sb="23" eb="25">
      <t>キジュン</t>
    </rPh>
    <rPh sb="25" eb="27">
      <t>ニッスウ</t>
    </rPh>
    <rPh sb="39" eb="41">
      <t>サクジョ</t>
    </rPh>
    <rPh sb="44" eb="46">
      <t>バアイ</t>
    </rPh>
    <phoneticPr fontId="5"/>
  </si>
  <si>
    <t>データ保存日数(ログ)</t>
    <rPh sb="3" eb="5">
      <t>ホゾン</t>
    </rPh>
    <rPh sb="5" eb="7">
      <t>ニッスウ</t>
    </rPh>
    <phoneticPr fontId="5"/>
  </si>
  <si>
    <t>data_hozon_nissuu_log</t>
    <phoneticPr fontId="5"/>
  </si>
  <si>
    <t>DATA_HOZON_NISSUU_LOG</t>
    <phoneticPr fontId="5"/>
  </si>
  <si>
    <t>データをどれだけ保存するか(ログ)を決める基準日数（100～9999）。
削除しない場合はブランク。</t>
    <rPh sb="8" eb="10">
      <t>ホゾン</t>
    </rPh>
    <rPh sb="18" eb="19">
      <t>キ</t>
    </rPh>
    <rPh sb="21" eb="23">
      <t>キジュン</t>
    </rPh>
    <rPh sb="23" eb="25">
      <t>ニッスウ</t>
    </rPh>
    <rPh sb="37" eb="39">
      <t>サクジョ</t>
    </rPh>
    <rPh sb="42" eb="44">
      <t>バアイ</t>
    </rPh>
    <phoneticPr fontId="5"/>
  </si>
  <si>
    <t>金融機関コード(郵貯)</t>
    <rPh sb="8" eb="10">
      <t>ユウチョ</t>
    </rPh>
    <phoneticPr fontId="5"/>
  </si>
  <si>
    <t>kinyukikan_cd_yuucho</t>
    <phoneticPr fontId="5"/>
  </si>
  <si>
    <t>9900</t>
    <phoneticPr fontId="5"/>
  </si>
  <si>
    <t>\d{4}</t>
    <phoneticPr fontId="5"/>
  </si>
  <si>
    <t>KINYUKIKAN_CD_YUUCHO</t>
    <phoneticPr fontId="5"/>
  </si>
  <si>
    <t>郵貯銀行を表す金融機関コード。半角数字4桁。
基本的にはデフォルトのままでよい。</t>
    <rPh sb="0" eb="2">
      <t>ユウチョ</t>
    </rPh>
    <rPh sb="2" eb="4">
      <t>ギンコウ</t>
    </rPh>
    <rPh sb="5" eb="6">
      <t>アラワ</t>
    </rPh>
    <rPh sb="7" eb="9">
      <t>キンユウ</t>
    </rPh>
    <rPh sb="9" eb="11">
      <t>キカン</t>
    </rPh>
    <rPh sb="15" eb="19">
      <t>ハンカクスウジ</t>
    </rPh>
    <rPh sb="20" eb="21">
      <t>ケタ</t>
    </rPh>
    <rPh sb="23" eb="26">
      <t>キホンテキ</t>
    </rPh>
    <phoneticPr fontId="5"/>
  </si>
  <si>
    <t>DBバックアップファイルパス</t>
    <phoneticPr fontId="5"/>
  </si>
  <si>
    <t>dbdump_url</t>
    <phoneticPr fontId="5"/>
  </si>
  <si>
    <t>C:\eteam\dbdump</t>
    <phoneticPr fontId="5"/>
  </si>
  <si>
    <t>DBDUMP_URL</t>
    <phoneticPr fontId="5"/>
  </si>
  <si>
    <t>DBダンプの格納先URL。
バックアップ運用時に使用する。</t>
    <rPh sb="6" eb="8">
      <t>カクノウ</t>
    </rPh>
    <rPh sb="8" eb="9">
      <t>サキ</t>
    </rPh>
    <rPh sb="20" eb="22">
      <t>ウンヨウ</t>
    </rPh>
    <rPh sb="22" eb="23">
      <t>ジ</t>
    </rPh>
    <rPh sb="24" eb="26">
      <t>シヨウ</t>
    </rPh>
    <phoneticPr fontId="5"/>
  </si>
  <si>
    <t>テナント最大ユーザー数</t>
    <phoneticPr fontId="5"/>
  </si>
  <si>
    <t>tenant_max_users_num</t>
    <phoneticPr fontId="5"/>
  </si>
  <si>
    <t>[1-9]\d{0,5}</t>
    <phoneticPr fontId="5"/>
  </si>
  <si>
    <t>TENANT_MAX_USERS_NUM</t>
    <phoneticPr fontId="5"/>
  </si>
  <si>
    <t>テナント内で作成可能なユーザー数の上限。
1～999999</t>
    <phoneticPr fontId="5"/>
  </si>
  <si>
    <t>法人名</t>
    <rPh sb="0" eb="3">
      <t>ホウジンメイ</t>
    </rPh>
    <phoneticPr fontId="5"/>
  </si>
  <si>
    <t>hyouji_kaisha_num</t>
    <phoneticPr fontId="5"/>
  </si>
  <si>
    <t>^.{0,20}$</t>
    <phoneticPr fontId="5"/>
  </si>
  <si>
    <t>HYOUJI_KAISHA_NUM</t>
    <phoneticPr fontId="5"/>
  </si>
  <si>
    <t>ヘッダに表示する法人名。
20文字以内で設定する。
空にした場合、法人名は表示されません。</t>
    <rPh sb="4" eb="6">
      <t>ヒョウジ</t>
    </rPh>
    <rPh sb="8" eb="10">
      <t>ホウジン</t>
    </rPh>
    <rPh sb="10" eb="11">
      <t>メイ</t>
    </rPh>
    <rPh sb="15" eb="17">
      <t>モジ</t>
    </rPh>
    <rPh sb="17" eb="19">
      <t>イナイ</t>
    </rPh>
    <rPh sb="20" eb="22">
      <t>セッテイ</t>
    </rPh>
    <rPh sb="26" eb="27">
      <t>カラ</t>
    </rPh>
    <rPh sb="30" eb="32">
      <t>バアイ</t>
    </rPh>
    <rPh sb="33" eb="36">
      <t>ホウジンメイ</t>
    </rPh>
    <rPh sb="37" eb="39">
      <t>ヒョウジ</t>
    </rPh>
    <phoneticPr fontId="5"/>
  </si>
  <si>
    <t>取引コードの設定可否</t>
    <rPh sb="0" eb="2">
      <t>トリヒキ</t>
    </rPh>
    <rPh sb="6" eb="8">
      <t>セッテイ</t>
    </rPh>
    <rPh sb="8" eb="10">
      <t>カヒ</t>
    </rPh>
    <phoneticPr fontId="5"/>
  </si>
  <si>
    <t>torihiki_settei</t>
    <phoneticPr fontId="5"/>
  </si>
  <si>
    <t>TORIHIKI_SETTEI</t>
    <phoneticPr fontId="5"/>
  </si>
  <si>
    <t>取引登録時に、取引コードを設定可能かどうか。
0：不可能
1：可能</t>
    <rPh sb="0" eb="2">
      <t>トリヒキ</t>
    </rPh>
    <rPh sb="2" eb="4">
      <t>トウロク</t>
    </rPh>
    <rPh sb="4" eb="5">
      <t>ジ</t>
    </rPh>
    <rPh sb="7" eb="9">
      <t>トリヒキ</t>
    </rPh>
    <rPh sb="13" eb="15">
      <t>セッテイ</t>
    </rPh>
    <rPh sb="15" eb="17">
      <t>カノウ</t>
    </rPh>
    <phoneticPr fontId="5"/>
  </si>
  <si>
    <t>ユーザー情報の変更可否</t>
    <rPh sb="4" eb="6">
      <t>ジョウホウ</t>
    </rPh>
    <rPh sb="7" eb="9">
      <t>ヘンコウ</t>
    </rPh>
    <rPh sb="9" eb="11">
      <t>カヒ</t>
    </rPh>
    <phoneticPr fontId="5"/>
  </si>
  <si>
    <t>user_info_henkou</t>
    <phoneticPr fontId="5"/>
  </si>
  <si>
    <t>USER_INFO_HENKOU</t>
    <phoneticPr fontId="5"/>
  </si>
  <si>
    <t>一般ユーザーによる社員番号、ユーザー名の変更が可能かどうか。
0：不可能
1：可能</t>
    <rPh sb="0" eb="2">
      <t>イッパン</t>
    </rPh>
    <rPh sb="9" eb="11">
      <t>シャイン</t>
    </rPh>
    <rPh sb="11" eb="13">
      <t>バンゴウ</t>
    </rPh>
    <rPh sb="18" eb="19">
      <t>メイ</t>
    </rPh>
    <rPh sb="20" eb="22">
      <t>ヘンコウ</t>
    </rPh>
    <rPh sb="23" eb="25">
      <t>カノウ</t>
    </rPh>
    <phoneticPr fontId="5"/>
  </si>
  <si>
    <t>邦貨換算端数処理方法</t>
    <phoneticPr fontId="5"/>
  </si>
  <si>
    <t>houka_kansan_hasuu</t>
    <phoneticPr fontId="5"/>
  </si>
  <si>
    <t>(0|1|2)</t>
    <phoneticPr fontId="39"/>
  </si>
  <si>
    <t>HOUKA_KANSAN_HASUU</t>
    <phoneticPr fontId="5"/>
  </si>
  <si>
    <t>外貨から邦貨へ換算する際の端数処理。
オプション機能(外貨入力)を有効にしていない場合は影響しません。
0：切り捨て
1：切り上げ
2：四捨五入</t>
    <rPh sb="24" eb="26">
      <t>キノウ</t>
    </rPh>
    <rPh sb="33" eb="35">
      <t>ユウコウ</t>
    </rPh>
    <rPh sb="41" eb="43">
      <t>バアイ</t>
    </rPh>
    <rPh sb="44" eb="46">
      <t>エイキョウ</t>
    </rPh>
    <phoneticPr fontId="5"/>
  </si>
  <si>
    <t>負担部門選択時に集計部門による制限を行う</t>
    <rPh sb="0" eb="2">
      <t>フタン</t>
    </rPh>
    <rPh sb="2" eb="4">
      <t>ブモン</t>
    </rPh>
    <rPh sb="4" eb="6">
      <t>センタク</t>
    </rPh>
    <rPh sb="6" eb="7">
      <t>ジ</t>
    </rPh>
    <rPh sb="8" eb="10">
      <t>シュウケイ</t>
    </rPh>
    <rPh sb="10" eb="12">
      <t>ブモン</t>
    </rPh>
    <rPh sb="15" eb="17">
      <t>セイゲン</t>
    </rPh>
    <rPh sb="18" eb="19">
      <t>オコナ</t>
    </rPh>
    <phoneticPr fontId="5"/>
  </si>
  <si>
    <t>futan_bumon_shukei_filter</t>
    <phoneticPr fontId="5"/>
  </si>
  <si>
    <t>FUTAN_BUMON_SHUKEI_FILTER</t>
    <phoneticPr fontId="5"/>
  </si>
  <si>
    <t>負担部門選択ダイアログにおいて、
集計部門コードでの絞込機能を有効にするか。
有効にした場合、利用許可されている集計部門配下の負担部門しか
選択できなくなる。
0：無効
1：有効</t>
    <rPh sb="0" eb="2">
      <t>フタン</t>
    </rPh>
    <rPh sb="39" eb="41">
      <t>ユウコウ</t>
    </rPh>
    <rPh sb="44" eb="46">
      <t>バアイ</t>
    </rPh>
    <rPh sb="47" eb="49">
      <t>リヨウ</t>
    </rPh>
    <rPh sb="63" eb="65">
      <t>フタン</t>
    </rPh>
    <rPh sb="70" eb="72">
      <t>センタク</t>
    </rPh>
    <rPh sb="82" eb="84">
      <t>ムコウ</t>
    </rPh>
    <rPh sb="87" eb="89">
      <t>ユウコウ</t>
    </rPh>
    <phoneticPr fontId="5"/>
  </si>
  <si>
    <t>添付ファイル容量</t>
    <rPh sb="0" eb="2">
      <t>テンプ</t>
    </rPh>
    <rPh sb="6" eb="8">
      <t>ヨウリョウ</t>
    </rPh>
    <phoneticPr fontId="5"/>
  </si>
  <si>
    <t>tenpu_size_seigen</t>
    <phoneticPr fontId="5"/>
  </si>
  <si>
    <t>TENPU_SIZE_SEIGEN</t>
    <phoneticPr fontId="5"/>
  </si>
  <si>
    <t>1つの申請書に添付できるファイル容量（合計）を指定します。
※1回のアップロードで添付可能なファイルの上限は20MB固定です。
0：制限しない。
1～999：指定したサイズ(MB)に制限する。</t>
    <phoneticPr fontId="5"/>
  </si>
  <si>
    <t>経理処理ロールのマル秘参照制限</t>
    <rPh sb="11" eb="13">
      <t>サンショウ</t>
    </rPh>
    <rPh sb="13" eb="15">
      <t>セイゲン</t>
    </rPh>
    <phoneticPr fontId="5"/>
  </si>
  <si>
    <t>keiri_maruhi_ref</t>
    <phoneticPr fontId="5"/>
  </si>
  <si>
    <t>KEIRI_MARUHI_REF</t>
    <phoneticPr fontId="5"/>
  </si>
  <si>
    <t>支払依頼に起案追加されたマル秘起案について、
経理処理ロールにドリルダウンを許可するかどうか。
0：しない
1：する</t>
  </si>
  <si>
    <t>申請・承認時のみマル秘設定可能とする</t>
    <rPh sb="0" eb="2">
      <t>シンセイ</t>
    </rPh>
    <rPh sb="3" eb="6">
      <t>ショウニンジ</t>
    </rPh>
    <rPh sb="10" eb="11">
      <t>ヒ</t>
    </rPh>
    <rPh sb="11" eb="13">
      <t>セッテイ</t>
    </rPh>
    <rPh sb="13" eb="15">
      <t>カノウ</t>
    </rPh>
    <phoneticPr fontId="5"/>
  </si>
  <si>
    <t>maruhi_settei_shounin_seigen</t>
    <phoneticPr fontId="5"/>
  </si>
  <si>
    <t>MARUHI_SETTEI_SHOUNIN_SEIGEN</t>
    <phoneticPr fontId="5"/>
  </si>
  <si>
    <t>マル秘文書設定の変更を現在承認者(申請前起票者)のみとするか。
0：しない
1：する</t>
    <rPh sb="2" eb="3">
      <t>ヒ</t>
    </rPh>
    <rPh sb="3" eb="5">
      <t>ブンショ</t>
    </rPh>
    <rPh sb="5" eb="7">
      <t>セッテイ</t>
    </rPh>
    <rPh sb="8" eb="10">
      <t>ヘンコウ</t>
    </rPh>
    <rPh sb="11" eb="13">
      <t>ゲンザイ</t>
    </rPh>
    <rPh sb="13" eb="16">
      <t>ショウニンシャ</t>
    </rPh>
    <rPh sb="17" eb="19">
      <t>シンセイ</t>
    </rPh>
    <rPh sb="19" eb="20">
      <t>マエ</t>
    </rPh>
    <rPh sb="20" eb="22">
      <t>キヒョウ</t>
    </rPh>
    <rPh sb="22" eb="23">
      <t>シャ</t>
    </rPh>
    <phoneticPr fontId="5"/>
  </si>
  <si>
    <t>合議部署の最終決裁後の閲覧制限設定</t>
    <phoneticPr fontId="5"/>
  </si>
  <si>
    <t>etsuran_seigen_gougi</t>
    <phoneticPr fontId="5"/>
  </si>
  <si>
    <t>ETSURAN_SEIGEN_GOUGI</t>
  </si>
  <si>
    <t>合議部署の各担当者が最終決裁後に申請書を参照できるか。
0：できない
1：できる</t>
    <phoneticPr fontId="5"/>
  </si>
  <si>
    <t>閲覧者の最終決裁後の閲覧制限設定</t>
    <phoneticPr fontId="5"/>
  </si>
  <si>
    <t>etsuran_seigen_etsuransha</t>
    <phoneticPr fontId="5"/>
  </si>
  <si>
    <t>ETSURAN_SEIGEN_ETSURANSHA</t>
  </si>
  <si>
    <t>閲覧者が最終決裁後に申請書を何ヶ月参照できるか。
1～99：最終承認後、閲覧可能な月数
0：制限しない</t>
    <rPh sb="14" eb="17">
      <t>ナンカゲツ</t>
    </rPh>
    <rPh sb="30" eb="32">
      <t>サイシュウ</t>
    </rPh>
    <rPh sb="32" eb="35">
      <t>ショウニンゴ</t>
    </rPh>
    <rPh sb="36" eb="38">
      <t>エツラン</t>
    </rPh>
    <rPh sb="38" eb="40">
      <t>カノウ</t>
    </rPh>
    <rPh sb="41" eb="42">
      <t>ゲツ</t>
    </rPh>
    <rPh sb="42" eb="43">
      <t>スウ</t>
    </rPh>
    <rPh sb="46" eb="48">
      <t>セイゲン</t>
    </rPh>
    <phoneticPr fontId="5"/>
  </si>
  <si>
    <t>通勤定期申請で仕訳作成しない場合に保持する定期情報の有効期限</t>
    <rPh sb="0" eb="6">
      <t>ツウキンテイキシンセイ</t>
    </rPh>
    <rPh sb="7" eb="9">
      <t>シワケ</t>
    </rPh>
    <rPh sb="9" eb="11">
      <t>サクセイ</t>
    </rPh>
    <rPh sb="14" eb="16">
      <t>バアイ</t>
    </rPh>
    <rPh sb="17" eb="19">
      <t>ホジ</t>
    </rPh>
    <rPh sb="21" eb="23">
      <t>テイキ</t>
    </rPh>
    <rPh sb="23" eb="25">
      <t>ジョウホウ</t>
    </rPh>
    <rPh sb="26" eb="28">
      <t>ユウコウ</t>
    </rPh>
    <rPh sb="28" eb="30">
      <t>キゲン</t>
    </rPh>
    <phoneticPr fontId="5"/>
  </si>
  <si>
    <t>teiki_jouhou_yuukou_kigen</t>
    <phoneticPr fontId="5"/>
  </si>
  <si>
    <t>TEIKI_JOUHOU_YUUKOU_KIGEN</t>
    <phoneticPr fontId="5"/>
  </si>
  <si>
    <t>設定項目：通勤定期申請で仕訳作成しない場合に保持する定期情報の有効期限。
0：申請内容の通り
1：申請内容に関わらず無期限</t>
    <rPh sb="0" eb="2">
      <t>セッテイ</t>
    </rPh>
    <rPh sb="2" eb="4">
      <t>コウモク</t>
    </rPh>
    <rPh sb="5" eb="11">
      <t>ツウキンテイキシンセイ</t>
    </rPh>
    <rPh sb="12" eb="14">
      <t>シワケ</t>
    </rPh>
    <rPh sb="14" eb="16">
      <t>サクセイ</t>
    </rPh>
    <rPh sb="19" eb="21">
      <t>バアイ</t>
    </rPh>
    <rPh sb="22" eb="24">
      <t>ホジ</t>
    </rPh>
    <rPh sb="26" eb="28">
      <t>テイキ</t>
    </rPh>
    <rPh sb="28" eb="30">
      <t>ジョウホウ</t>
    </rPh>
    <rPh sb="31" eb="33">
      <t>ユウコウ</t>
    </rPh>
    <rPh sb="33" eb="35">
      <t>キゲン</t>
    </rPh>
    <rPh sb="39" eb="41">
      <t>シンセイ</t>
    </rPh>
    <rPh sb="41" eb="43">
      <t>ナイヨウ</t>
    </rPh>
    <rPh sb="44" eb="45">
      <t>トオ</t>
    </rPh>
    <rPh sb="49" eb="51">
      <t>シンセイ</t>
    </rPh>
    <rPh sb="51" eb="53">
      <t>ナイヨウ</t>
    </rPh>
    <rPh sb="54" eb="55">
      <t>カカ</t>
    </rPh>
    <rPh sb="58" eb="61">
      <t>ムキゲン</t>
    </rPh>
    <phoneticPr fontId="5"/>
  </si>
  <si>
    <t>稟議金額の超過判定%</t>
    <rPh sb="0" eb="2">
      <t>リンギ</t>
    </rPh>
    <rPh sb="2" eb="4">
      <t>キンガク</t>
    </rPh>
    <rPh sb="5" eb="7">
      <t>チョウカ</t>
    </rPh>
    <rPh sb="7" eb="9">
      <t>ハンテイ</t>
    </rPh>
    <phoneticPr fontId="5"/>
  </si>
  <si>
    <t>ringi_chouka_hantei</t>
    <phoneticPr fontId="5"/>
  </si>
  <si>
    <t>[1-9]\d{2}</t>
    <phoneticPr fontId="5"/>
  </si>
  <si>
    <t>RINGI_CHOUKA_HANTEI</t>
  </si>
  <si>
    <t>稟議金額に対する申請金額合計の割合の許容上限。
100～999</t>
    <rPh sb="0" eb="2">
      <t>リンギ</t>
    </rPh>
    <rPh sb="2" eb="4">
      <t>キンガク</t>
    </rPh>
    <rPh sb="5" eb="6">
      <t>タイ</t>
    </rPh>
    <rPh sb="8" eb="10">
      <t>シンセイ</t>
    </rPh>
    <rPh sb="10" eb="12">
      <t>キンガク</t>
    </rPh>
    <rPh sb="12" eb="14">
      <t>ゴウケイ</t>
    </rPh>
    <rPh sb="15" eb="17">
      <t>ワリアイ</t>
    </rPh>
    <rPh sb="18" eb="20">
      <t>キョヨウ</t>
    </rPh>
    <rPh sb="20" eb="22">
      <t>ジョウゲン</t>
    </rPh>
    <phoneticPr fontId="5"/>
  </si>
  <si>
    <t>稟議金額を超過した伝票の承認等可否</t>
    <rPh sb="0" eb="2">
      <t>リンギ</t>
    </rPh>
    <rPh sb="2" eb="4">
      <t>キンガク</t>
    </rPh>
    <rPh sb="5" eb="7">
      <t>チョウカ</t>
    </rPh>
    <rPh sb="9" eb="11">
      <t>デンピョウ</t>
    </rPh>
    <rPh sb="12" eb="14">
      <t>ショウニン</t>
    </rPh>
    <rPh sb="14" eb="15">
      <t>トウ</t>
    </rPh>
    <rPh sb="15" eb="17">
      <t>カヒ</t>
    </rPh>
    <phoneticPr fontId="5"/>
  </si>
  <si>
    <t>ringi_chouka_shounintou</t>
    <phoneticPr fontId="5"/>
  </si>
  <si>
    <t>RINGI_CHOUKA_SHOUNINTOU</t>
  </si>
  <si>
    <t>稟議金額に対する申請金額合計の割合が、稟議金額の超過判定%を超えた場合に、伝票の登録・更新・申請・承認を許可するか。
0：許可しない
1：許可する</t>
    <rPh sb="0" eb="2">
      <t>リンギ</t>
    </rPh>
    <rPh sb="2" eb="4">
      <t>キンガク</t>
    </rPh>
    <rPh sb="5" eb="6">
      <t>タイ</t>
    </rPh>
    <rPh sb="8" eb="10">
      <t>シンセイ</t>
    </rPh>
    <rPh sb="10" eb="12">
      <t>キンガク</t>
    </rPh>
    <rPh sb="12" eb="14">
      <t>ゴウケイ</t>
    </rPh>
    <rPh sb="15" eb="17">
      <t>ワリアイ</t>
    </rPh>
    <rPh sb="30" eb="31">
      <t>コ</t>
    </rPh>
    <rPh sb="33" eb="35">
      <t>バアイ</t>
    </rPh>
    <rPh sb="37" eb="39">
      <t>デンピョウ</t>
    </rPh>
    <rPh sb="40" eb="42">
      <t>トウロク</t>
    </rPh>
    <rPh sb="43" eb="45">
      <t>コウシン</t>
    </rPh>
    <rPh sb="46" eb="48">
      <t>シンセイ</t>
    </rPh>
    <rPh sb="49" eb="51">
      <t>ショウニン</t>
    </rPh>
    <rPh sb="52" eb="54">
      <t>キョカ</t>
    </rPh>
    <rPh sb="61" eb="63">
      <t>キョカ</t>
    </rPh>
    <rPh sb="69" eb="71">
      <t>キョカ</t>
    </rPh>
    <phoneticPr fontId="5"/>
  </si>
  <si>
    <t>ユーザー定義届書伝票検索条件名称（件名）</t>
    <rPh sb="4" eb="6">
      <t>テイギ</t>
    </rPh>
    <rPh sb="6" eb="8">
      <t>トドケショ</t>
    </rPh>
    <rPh sb="8" eb="10">
      <t>デンピョウ</t>
    </rPh>
    <rPh sb="10" eb="12">
      <t>ケンサク</t>
    </rPh>
    <rPh sb="12" eb="14">
      <t>ジョウケン</t>
    </rPh>
    <rPh sb="14" eb="16">
      <t>メイショウ</t>
    </rPh>
    <rPh sb="17" eb="19">
      <t>ケンメイ</t>
    </rPh>
    <phoneticPr fontId="5"/>
  </si>
  <si>
    <t>user_teigi_todoke_kensaku_kenmei</t>
    <phoneticPr fontId="5"/>
  </si>
  <si>
    <t>ユーザー定義届書／件名</t>
    <phoneticPr fontId="5"/>
  </si>
  <si>
    <t>USER_TEIGI_TODOKE_KENSAKU_KENMEI</t>
    <phoneticPr fontId="5"/>
  </si>
  <si>
    <t>ユーザー定義届書について、伝票検索画面での件名指定用の項目名を設定する。15文字以内で設定する。</t>
    <rPh sb="4" eb="6">
      <t>テイギ</t>
    </rPh>
    <rPh sb="6" eb="8">
      <t>トドケショ</t>
    </rPh>
    <rPh sb="13" eb="15">
      <t>デンピョウ</t>
    </rPh>
    <rPh sb="15" eb="17">
      <t>ケンサク</t>
    </rPh>
    <rPh sb="17" eb="19">
      <t>ガメン</t>
    </rPh>
    <rPh sb="21" eb="25">
      <t>ケンメイシテイ</t>
    </rPh>
    <rPh sb="25" eb="26">
      <t>ヨウ</t>
    </rPh>
    <rPh sb="27" eb="29">
      <t>コウモク</t>
    </rPh>
    <rPh sb="29" eb="30">
      <t>メイ</t>
    </rPh>
    <rPh sb="31" eb="33">
      <t>セッテイ</t>
    </rPh>
    <rPh sb="38" eb="40">
      <t>モジ</t>
    </rPh>
    <rPh sb="40" eb="42">
      <t>イナイ</t>
    </rPh>
    <rPh sb="43" eb="45">
      <t>セッテイ</t>
    </rPh>
    <phoneticPr fontId="5"/>
  </si>
  <si>
    <t>ユーザー定義届書伝票検索条件名称（内容）と
同一文字列が設定されているならエラー</t>
    <rPh sb="22" eb="24">
      <t>ドウイツ</t>
    </rPh>
    <rPh sb="24" eb="27">
      <t>モジレツ</t>
    </rPh>
    <rPh sb="28" eb="30">
      <t>セッテイ</t>
    </rPh>
    <phoneticPr fontId="5"/>
  </si>
  <si>
    <t>ユーザー定義届書伝票検索条件名称（内容）</t>
    <rPh sb="4" eb="6">
      <t>テイギ</t>
    </rPh>
    <rPh sb="6" eb="8">
      <t>トドケショ</t>
    </rPh>
    <rPh sb="8" eb="10">
      <t>デンピョウ</t>
    </rPh>
    <rPh sb="10" eb="12">
      <t>ケンサク</t>
    </rPh>
    <rPh sb="12" eb="14">
      <t>ジョウケン</t>
    </rPh>
    <rPh sb="14" eb="16">
      <t>メイショウ</t>
    </rPh>
    <rPh sb="17" eb="19">
      <t>ナイヨウ</t>
    </rPh>
    <phoneticPr fontId="5"/>
  </si>
  <si>
    <t>user_teigi_todoke_kensaku_naiyou</t>
    <phoneticPr fontId="5"/>
  </si>
  <si>
    <t>ユーザー定義届書／内容</t>
    <phoneticPr fontId="5"/>
  </si>
  <si>
    <t>USER_TEIGI_TODOKE_KENSAKU_NAIYOU</t>
    <phoneticPr fontId="5"/>
  </si>
  <si>
    <t>ユーザー定義届書について、伝票検索画面での内容指定用の項目名を設定する。15文字以内で設定する。</t>
    <rPh sb="4" eb="6">
      <t>テイギ</t>
    </rPh>
    <rPh sb="6" eb="8">
      <t>トドケショ</t>
    </rPh>
    <rPh sb="13" eb="15">
      <t>デンピョウ</t>
    </rPh>
    <rPh sb="15" eb="17">
      <t>ケンサク</t>
    </rPh>
    <rPh sb="17" eb="19">
      <t>ガメン</t>
    </rPh>
    <rPh sb="21" eb="23">
      <t>ナイヨウ</t>
    </rPh>
    <rPh sb="23" eb="25">
      <t>シテイ</t>
    </rPh>
    <rPh sb="25" eb="26">
      <t>ヨウ</t>
    </rPh>
    <rPh sb="27" eb="29">
      <t>コウモク</t>
    </rPh>
    <rPh sb="29" eb="30">
      <t>メイ</t>
    </rPh>
    <rPh sb="31" eb="33">
      <t>セッテイ</t>
    </rPh>
    <phoneticPr fontId="5"/>
  </si>
  <si>
    <t>ユーザー定義届書伝票検索条件名称（件名）と
同一文字列が設定されているならエラー</t>
    <rPh sb="17" eb="19">
      <t>ケンメイ</t>
    </rPh>
    <phoneticPr fontId="5"/>
  </si>
  <si>
    <t>所属部門＆配下部門のデータ共有する・しない</t>
    <phoneticPr fontId="5"/>
  </si>
  <si>
    <t>shozoku_bumon_data_kyoyu</t>
    <phoneticPr fontId="5"/>
  </si>
  <si>
    <t>SHOZOKU_BUMON_DATA_KYOYU</t>
    <phoneticPr fontId="5"/>
  </si>
  <si>
    <t>「伝票検索」時に、ワークフロー部門で自分が所属している部門とその配下部門のデータは自分が承認ルート上に設定されていない場合も参照可能とするか。
0：しない
1：する</t>
    <phoneticPr fontId="5"/>
  </si>
  <si>
    <t>複数明細がある場合のルート判断基準</t>
    <rPh sb="0" eb="2">
      <t>フクスウ</t>
    </rPh>
    <rPh sb="2" eb="4">
      <t>メイサイ</t>
    </rPh>
    <rPh sb="7" eb="9">
      <t>バアイ</t>
    </rPh>
    <rPh sb="13" eb="15">
      <t>ハンダン</t>
    </rPh>
    <rPh sb="15" eb="17">
      <t>キジュン</t>
    </rPh>
    <phoneticPr fontId="5"/>
  </si>
  <si>
    <t>route_hantei_torihiki_sentaku_rule</t>
    <phoneticPr fontId="5"/>
  </si>
  <si>
    <t>ROUTE_HANTEI_TORIHIKI_SENTAKU_RULE</t>
    <phoneticPr fontId="5"/>
  </si>
  <si>
    <t>デフォルト承認ルートの設定を取引毎に行うとき、複数明細がある伝票において、どの明細の取引をルート判断基準として使用するか。
1：金額最大値の明細
2：先頭行の明細</t>
    <rPh sb="5" eb="7">
      <t>ショウニン</t>
    </rPh>
    <rPh sb="11" eb="13">
      <t>セッテイ</t>
    </rPh>
    <rPh sb="14" eb="16">
      <t>トリヒキ</t>
    </rPh>
    <rPh sb="16" eb="17">
      <t>マイ</t>
    </rPh>
    <rPh sb="18" eb="19">
      <t>オコナ</t>
    </rPh>
    <rPh sb="23" eb="25">
      <t>フクスウ</t>
    </rPh>
    <rPh sb="25" eb="27">
      <t>メイサイ</t>
    </rPh>
    <rPh sb="30" eb="32">
      <t>デンピョウ</t>
    </rPh>
    <rPh sb="39" eb="41">
      <t>メイサイ</t>
    </rPh>
    <rPh sb="42" eb="44">
      <t>トリヒキ</t>
    </rPh>
    <rPh sb="48" eb="50">
      <t>ハンダン</t>
    </rPh>
    <rPh sb="50" eb="52">
      <t>キジュン</t>
    </rPh>
    <rPh sb="55" eb="57">
      <t>シヨウ</t>
    </rPh>
    <rPh sb="64" eb="66">
      <t>キンガク</t>
    </rPh>
    <rPh sb="66" eb="68">
      <t>サイダイ</t>
    </rPh>
    <rPh sb="68" eb="69">
      <t>アタイ</t>
    </rPh>
    <rPh sb="70" eb="72">
      <t>メイサイ</t>
    </rPh>
    <rPh sb="75" eb="77">
      <t>セントウ</t>
    </rPh>
    <rPh sb="77" eb="78">
      <t>ギョウ</t>
    </rPh>
    <rPh sb="79" eb="81">
      <t>メイサイ</t>
    </rPh>
    <phoneticPr fontId="5"/>
  </si>
  <si>
    <t>海外用日当の単価設定</t>
    <phoneticPr fontId="5"/>
  </si>
  <si>
    <t>kaigai_nittou_tanka_gaika_settei</t>
    <phoneticPr fontId="5"/>
  </si>
  <si>
    <t>KAIGAI_NITTOU_TANKA_GAIKA_SETTEI</t>
    <phoneticPr fontId="5"/>
  </si>
  <si>
    <t>海外用日当単価に外貨を使用する。
オプション機能（外貨入力）を有効にしていない場合は影響しません。
0：しない
1：する</t>
    <phoneticPr fontId="5"/>
  </si>
  <si>
    <t>ログイン状態を維持する時間</t>
    <rPh sb="4" eb="6">
      <t>ジョウタイ</t>
    </rPh>
    <rPh sb="7" eb="9">
      <t>イジ</t>
    </rPh>
    <rPh sb="11" eb="13">
      <t>ジカン</t>
    </rPh>
    <phoneticPr fontId="5"/>
  </si>
  <si>
    <t>login_iji_jikan</t>
    <phoneticPr fontId="5"/>
  </si>
  <si>
    <t>24</t>
    <phoneticPr fontId="5"/>
  </si>
  <si>
    <t>([1-9]|1[0-9]|2[0-4])</t>
    <phoneticPr fontId="5"/>
  </si>
  <si>
    <t>LOGIN_IJI_JIKAN</t>
    <phoneticPr fontId="5"/>
  </si>
  <si>
    <t>サーバーへの最終リクエスト送信時点からの、再度ログインが必要になるまでの経過時間。
1～24：サーバーへの最終リクエスト送信から再度ログインを必要としない時間。（単位は「時間」）</t>
    <phoneticPr fontId="5"/>
  </si>
  <si>
    <t>オプション</t>
    <phoneticPr fontId="5"/>
  </si>
  <si>
    <t>予算オプション</t>
    <rPh sb="0" eb="2">
      <t>ヨサン</t>
    </rPh>
    <phoneticPr fontId="5"/>
  </si>
  <si>
    <t>yosan_option</t>
    <phoneticPr fontId="5"/>
  </si>
  <si>
    <t>([0]|[A]|[B])</t>
    <phoneticPr fontId="5"/>
  </si>
  <si>
    <t>YOSAN_OPTION</t>
    <phoneticPr fontId="5"/>
  </si>
  <si>
    <t>DE3の予算オプション
0：OFF
A：予算A
B：予算B</t>
    <rPh sb="4" eb="6">
      <t>ヨサン</t>
    </rPh>
    <rPh sb="20" eb="22">
      <t>ヨサン</t>
    </rPh>
    <rPh sb="26" eb="28">
      <t>ヨサン</t>
    </rPh>
    <phoneticPr fontId="5"/>
  </si>
  <si>
    <t>WF一般オプション</t>
    <rPh sb="2" eb="4">
      <t>イッパン</t>
    </rPh>
    <phoneticPr fontId="5"/>
  </si>
  <si>
    <t>ippan_option</t>
    <phoneticPr fontId="5"/>
  </si>
  <si>
    <t>IPPAN_OPTION</t>
    <phoneticPr fontId="5"/>
  </si>
  <si>
    <t>0：OFF
1：ON</t>
    <phoneticPr fontId="5"/>
  </si>
  <si>
    <t>拠点入力オプション</t>
    <rPh sb="0" eb="2">
      <t>キョテン</t>
    </rPh>
    <rPh sb="2" eb="4">
      <t>ニュウリョク</t>
    </rPh>
    <phoneticPr fontId="5"/>
  </si>
  <si>
    <t>kyoten_option</t>
    <phoneticPr fontId="5"/>
  </si>
  <si>
    <t>KYOTEN_OPTION</t>
    <phoneticPr fontId="5"/>
  </si>
  <si>
    <t>システム名</t>
    <rPh sb="4" eb="5">
      <t>メイ</t>
    </rPh>
    <phoneticPr fontId="5"/>
  </si>
  <si>
    <t>eTeam</t>
    <phoneticPr fontId="5"/>
  </si>
  <si>
    <t>資料名</t>
    <rPh sb="0" eb="3">
      <t>シリョウメイ</t>
    </rPh>
    <phoneticPr fontId="5"/>
  </si>
  <si>
    <t>設定情報定義書</t>
    <rPh sb="0" eb="2">
      <t>セッテイ</t>
    </rPh>
    <rPh sb="2" eb="4">
      <t>ジョウホウ</t>
    </rPh>
    <rPh sb="4" eb="6">
      <t>テイギ</t>
    </rPh>
    <rPh sb="6" eb="7">
      <t>ショ</t>
    </rPh>
    <phoneticPr fontId="5"/>
  </si>
  <si>
    <t>「設定情報」の初期データCSVの元ネタを投資料で管理する。</t>
    <rPh sb="1" eb="3">
      <t>セッテイ</t>
    </rPh>
    <rPh sb="3" eb="5">
      <t>ジョウホウ</t>
    </rPh>
    <rPh sb="7" eb="9">
      <t>ショキ</t>
    </rPh>
    <rPh sb="16" eb="17">
      <t>モト</t>
    </rPh>
    <rPh sb="20" eb="22">
      <t>トウシ</t>
    </rPh>
    <rPh sb="22" eb="23">
      <t>リョウ</t>
    </rPh>
    <rPh sb="24" eb="26">
      <t>カンリ</t>
    </rPh>
    <phoneticPr fontId="5"/>
  </si>
  <si>
    <t>上記テーブルの目的は、テナント（＝会社）単位の設定である。</t>
    <rPh sb="0" eb="2">
      <t>ジョウキ</t>
    </rPh>
    <rPh sb="7" eb="9">
      <t>モクテキ</t>
    </rPh>
    <rPh sb="17" eb="19">
      <t>カイシャ</t>
    </rPh>
    <rPh sb="20" eb="22">
      <t>タンイ</t>
    </rPh>
    <rPh sb="23" eb="25">
      <t>セッテイ</t>
    </rPh>
    <phoneticPr fontId="5"/>
  </si>
  <si>
    <t>初期データ投入後、テナント管理者が会社設定画面にて設定を変更する。</t>
    <rPh sb="0" eb="2">
      <t>ショキ</t>
    </rPh>
    <rPh sb="5" eb="8">
      <t>トウニュウゴ</t>
    </rPh>
    <rPh sb="13" eb="16">
      <t>カンリシャ</t>
    </rPh>
    <rPh sb="25" eb="27">
      <t>セッテイ</t>
    </rPh>
    <rPh sb="28" eb="30">
      <t>ヘンコウ</t>
    </rPh>
    <phoneticPr fontId="5"/>
  </si>
  <si>
    <t>ただし、変更可能の列が「0」になっている設定は、上記画面から変更することができない。</t>
    <rPh sb="9" eb="10">
      <t>レツ</t>
    </rPh>
    <rPh sb="20" eb="22">
      <t>セッテイ</t>
    </rPh>
    <rPh sb="24" eb="28">
      <t>ジョウキガメン</t>
    </rPh>
    <rPh sb="30" eb="32">
      <t>ヘンコウ</t>
    </rPh>
    <phoneticPr fontId="5"/>
  </si>
  <si>
    <t>変更する場合（通常発生しない）は、直接DBを更新する。</t>
    <rPh sb="0" eb="2">
      <t>ヘンコウ</t>
    </rPh>
    <rPh sb="4" eb="6">
      <t>バアイ</t>
    </rPh>
    <rPh sb="7" eb="9">
      <t>ツウジョウ</t>
    </rPh>
    <rPh sb="9" eb="11">
      <t>ハッセイ</t>
    </rPh>
    <rPh sb="17" eb="19">
      <t>チョクセツ</t>
    </rPh>
    <rPh sb="22" eb="24">
      <t>コウシン</t>
    </rPh>
    <phoneticPr fontId="5"/>
  </si>
  <si>
    <t>UTDBの洗い替え手順</t>
    <rPh sb="5" eb="6">
      <t>アラ</t>
    </rPh>
    <rPh sb="7" eb="8">
      <t>ガ</t>
    </rPh>
    <rPh sb="9" eb="11">
      <t>テジュン</t>
    </rPh>
    <phoneticPr fontId="5"/>
  </si>
  <si>
    <t>set search_path to スキーマ名;</t>
    <rPh sb="23" eb="24">
      <t>メイ</t>
    </rPh>
    <phoneticPr fontId="5"/>
  </si>
  <si>
    <t>CREATE TABLE setting_info_tmp AS SELECT * FROM setting_info;</t>
  </si>
  <si>
    <t>DELETE FROM setting_info WHERE hyouji_jun &lt; 900;</t>
  </si>
  <si>
    <t>.setting_infoにsetting_info.csvからインポート</t>
    <phoneticPr fontId="5"/>
  </si>
  <si>
    <t>UPDATE setting_info new SET setting_val = (</t>
  </si>
  <si>
    <t xml:space="preserve"> SELECT setting_val</t>
  </si>
  <si>
    <t xml:space="preserve"> FROM setting_info_tmp tmp</t>
  </si>
  <si>
    <t xml:space="preserve"> WHERE tmp.setting_name = new.setting_name</t>
  </si>
  <si>
    <t>) WHERE new.setting_name IN (</t>
  </si>
  <si>
    <t xml:space="preserve"> SELECT setting_name FROM setting_info_tmp</t>
  </si>
  <si>
    <t>);</t>
  </si>
  <si>
    <t>DROP TABLE setting_info_tmp;</t>
  </si>
  <si>
    <t>このサイトでこのシートの正規表現のプレUTができる。</t>
    <rPh sb="12" eb="16">
      <t>セイキヒョウゲン</t>
    </rPh>
    <phoneticPr fontId="5"/>
  </si>
  <si>
    <t>http://java-regex-tester.appspot.com/</t>
    <phoneticPr fontId="5"/>
  </si>
  <si>
    <t>by</t>
    <phoneticPr fontId="5"/>
  </si>
  <si>
    <t>http://d.hatena.ne.jp/tomorrowkey/20120201/1328107395</t>
    <phoneticPr fontId="5"/>
  </si>
  <si>
    <t>([0-9]|[A-Z]|[/-]){1,6}</t>
  </si>
  <si>
    <t>([0-9]|[A-Z]|[/-]){1,12}</t>
  </si>
  <si>
    <t>([0-9]|[A-Z]|[/-]){1,8}</t>
  </si>
  <si>
    <t>(([0-9]|[A-Z]|[/-]){1,6}|&lt;FUTAN&gt;|&lt;DAIHYOUBUMON&gt;)</t>
  </si>
  <si>
    <t>ユーザーの所属部門を登録する際、代表負担部門の未入力チェックを行うかどうか。
0:チェックしない
1:チェックする</t>
    <phoneticPr fontId="5"/>
  </si>
  <si>
    <t>ユーザー登録の代表負担部門の未入力チェック</t>
  </si>
  <si>
    <t>user_daihyoufutanbumon_minyuuryoku_check</t>
  </si>
  <si>
    <t>USER_DAIHYOUFUTANBUMON_MINYUURYOKU_CHECK</t>
    <phoneticPr fontId="5"/>
  </si>
  <si>
    <t>自動引落伝票　添付ファイルチェック</t>
  </si>
  <si>
    <t>tenpu_check_A009</t>
  </si>
  <si>
    <t>TENPU_CHECK_A009</t>
  </si>
  <si>
    <t>自動引落伝票　領収書・請求書等デフォルト値</t>
  </si>
  <si>
    <t>shouhyou_shorui_default_A009</t>
  </si>
  <si>
    <t>SHOUHYOU_SHORUI_DEFAULT_A009</t>
  </si>
  <si>
    <t>自動引落伝票の領収書・請求書等のデフォルト設定。
0：なし
1：あり</t>
  </si>
  <si>
    <t>伝票IDの連携先</t>
  </si>
  <si>
    <t>社員コードの連携先</t>
  </si>
  <si>
    <t>法人カード識別用番号の連携先</t>
  </si>
  <si>
    <t>最終承認の解除</t>
    <rPh sb="0" eb="4">
      <t>サイシュウショウニン</t>
    </rPh>
    <rPh sb="5" eb="7">
      <t>カイジョ</t>
    </rPh>
    <phoneticPr fontId="5"/>
  </si>
  <si>
    <t>saishuushounin_kaijo_flg</t>
  </si>
  <si>
    <t>SAISHUUSHOUNIN_KAIJO_FLG</t>
    <phoneticPr fontId="5"/>
  </si>
  <si>
    <t>最終承認後、仕訳抽出前の状態において、最終承認者による最終承認の解除を許可するかどうか。
0:許可しない
1:許可する
※仕訳抽出前であっても、他の伝票に添付されている場合、最終承認の解除は行えません。</t>
    <phoneticPr fontId="5"/>
  </si>
  <si>
    <t>伝票変更権限</t>
    <rPh sb="0" eb="2">
      <t>デンピョウ</t>
    </rPh>
    <rPh sb="2" eb="4">
      <t>ヘンコウ</t>
    </rPh>
    <rPh sb="4" eb="6">
      <t>ケンゲン</t>
    </rPh>
    <phoneticPr fontId="5"/>
  </si>
  <si>
    <t>denpyou_henkou_flg</t>
    <phoneticPr fontId="5"/>
  </si>
  <si>
    <t>DENPYOU_HENKOU_FLG</t>
    <phoneticPr fontId="5"/>
  </si>
  <si>
    <t>最終承認者・注記文言設定における業務ロールに伝票変更権限を与えるかどうか。
0:与える
1:与えない
※1:与えないの場合でも、支払日・計上日については設定可能。（計上日は伝票によって異なる）</t>
    <phoneticPr fontId="5"/>
  </si>
  <si>
    <t>伝票検索でのマル秘伝票表示制御</t>
    <phoneticPr fontId="5"/>
  </si>
  <si>
    <t>maruhi_hyouji_seigyo_flg</t>
    <phoneticPr fontId="5"/>
  </si>
  <si>
    <t>マル秘に設定された伝票の内容と件名を、伝票検索の検索結果として表示するかどうか。
0:表示しない
1:表示する
※0:表示しないの場合、マル秘に設定された伝票の内容と件名は、検索項目としては使用できません。</t>
    <phoneticPr fontId="5"/>
  </si>
  <si>
    <t>MARUHI_HYOUJI_SEIGYO_FLG</t>
    <phoneticPr fontId="5"/>
  </si>
  <si>
    <t>一見先取引先への振込手数料(税込)
以下を①,②,③,④形式で入力
①同行　3万円未満
②同行　3万円以上
③他行　3万円未満
④他行　3万円以上
例)110,330,550,880</t>
    <rPh sb="0" eb="2">
      <t>イッケン</t>
    </rPh>
    <rPh sb="2" eb="3">
      <t>サキ</t>
    </rPh>
    <rPh sb="3" eb="5">
      <t>トリヒキ</t>
    </rPh>
    <rPh sb="5" eb="6">
      <t>サキ</t>
    </rPh>
    <rPh sb="8" eb="10">
      <t>フリコミ</t>
    </rPh>
    <rPh sb="10" eb="13">
      <t>テスウリョウ</t>
    </rPh>
    <rPh sb="13" eb="17">
      <t>ゼイコミ</t>
    </rPh>
    <rPh sb="18" eb="20">
      <t>イカ</t>
    </rPh>
    <rPh sb="28" eb="30">
      <t>ケイシキ</t>
    </rPh>
    <rPh sb="31" eb="33">
      <t>ニュウリョク</t>
    </rPh>
    <rPh sb="35" eb="37">
      <t>ドウコウ</t>
    </rPh>
    <rPh sb="39" eb="41">
      <t>マンエン</t>
    </rPh>
    <rPh sb="41" eb="43">
      <t>ミマン</t>
    </rPh>
    <rPh sb="45" eb="47">
      <t>ドウコウ</t>
    </rPh>
    <rPh sb="49" eb="53">
      <t>マンエンイジョウ</t>
    </rPh>
    <rPh sb="55" eb="57">
      <t>タコウ</t>
    </rPh>
    <rPh sb="59" eb="61">
      <t>マンエン</t>
    </rPh>
    <rPh sb="61" eb="63">
      <t>ミマン</t>
    </rPh>
    <rPh sb="65" eb="67">
      <t>タコウ</t>
    </rPh>
    <rPh sb="69" eb="71">
      <t>マンエン</t>
    </rPh>
    <rPh sb="71" eb="73">
      <t>イジョウ</t>
    </rPh>
    <rPh sb="74" eb="75">
      <t>レイ</t>
    </rPh>
    <phoneticPr fontId="5"/>
  </si>
  <si>
    <t>&lt;USER&gt;：ユーザー名
&lt;SHIYOUSHA&gt;：伝票画面で入力した使用者
&lt;TORIHIKI&gt;：伝票画面で入力した取引名
&lt;TEKIYOU&gt;：伝票画面で入力した摘要
&lt;SHIYOUBI&gt;：伝票画面で入力した使用日
&lt;TORIHIKISAKI&gt;：伝票画面で入力した取引先名
&lt;KOUSAI_NUM&gt;：(交際費対象取引の場合のみ)交際費人数
&lt;KOUSAI_GAKU&gt;：(交際費対象取引の場合のみ)交際費一人あたりの金額</t>
    <rPh sb="25" eb="27">
      <t>デンピョウ</t>
    </rPh>
    <rPh sb="27" eb="29">
      <t>ガメン</t>
    </rPh>
    <rPh sb="30" eb="32">
      <t>ニュウリョク</t>
    </rPh>
    <rPh sb="34" eb="37">
      <t>シヨウシャ</t>
    </rPh>
    <phoneticPr fontId="5"/>
  </si>
  <si>
    <t>&lt;USER&gt;：ユーザー名
&lt;TORIHIKI&gt;：伝票画面で入力した取引名</t>
    <rPh sb="24" eb="26">
      <t>デンピョウ</t>
    </rPh>
    <rPh sb="26" eb="28">
      <t>ガメン</t>
    </rPh>
    <rPh sb="29" eb="31">
      <t>ニュウリョク</t>
    </rPh>
    <rPh sb="33" eb="35">
      <t>トリヒキ</t>
    </rPh>
    <rPh sb="35" eb="36">
      <t>メイ</t>
    </rPh>
    <phoneticPr fontId="5"/>
  </si>
  <si>
    <r>
      <t>社員コードを仕訳に連携するかどうか。
0：連携しない
HF1～HF10：ヘッダーフィールド１～１０に連携する
UF1～UF20：ユニバーサルフィールド１～２０に連携する</t>
    </r>
    <r>
      <rPr>
        <sz val="9"/>
        <color rgb="FFFF0000"/>
        <rFont val="ＭＳ ゴシック"/>
        <family val="3"/>
        <charset val="128"/>
      </rPr>
      <t>（振替伝票・総合付替伝票は対象外）</t>
    </r>
    <r>
      <rPr>
        <sz val="9"/>
        <rFont val="ＭＳ ゴシック"/>
        <family val="3"/>
        <charset val="128"/>
      </rPr>
      <t xml:space="preserve">
T：摘要コードに連携する</t>
    </r>
    <r>
      <rPr>
        <sz val="9"/>
        <color rgb="FFFF0000"/>
        <rFont val="ＭＳ ゴシック"/>
        <family val="3"/>
        <charset val="128"/>
      </rPr>
      <t>（振替伝票・総合付替伝票は対象外）</t>
    </r>
    <rPh sb="115" eb="117">
      <t>フリカエ</t>
    </rPh>
    <rPh sb="117" eb="119">
      <t>デンピョウ</t>
    </rPh>
    <rPh sb="120" eb="124">
      <t>ソウゴウツケカ</t>
    </rPh>
    <rPh sb="124" eb="126">
      <t>デンピョウ</t>
    </rPh>
    <rPh sb="127" eb="130">
      <t>タイショウガイ</t>
    </rPh>
    <phoneticPr fontId="5"/>
  </si>
  <si>
    <r>
      <t>社員コードを仕訳に連携するかどうか。
0：連携しない
UF1～UF3：ユニバーサルフィールド１～３に連携する
T：摘要コードに連携する</t>
    </r>
    <r>
      <rPr>
        <sz val="9"/>
        <color rgb="FFFF0000"/>
        <rFont val="ＭＳ ゴシック"/>
        <family val="3"/>
        <charset val="128"/>
      </rPr>
      <t>（振替伝票・総合付替伝票は対象外）</t>
    </r>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</si>
</sst>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 #,##0_ ;_ * \-#,##0_ ;_ * &quot;-&quot;_ ;_ @_ "/>
    <numFmt numFmtId="43" formatCode="_ * #,##0.00_ ;_ * \-#,##0.00_ ;_ * &quot;-&quot;??_ ;_ @_ "/>
    <numFmt numFmtId="176" formatCode="d&quot;¥&quot;&quot;¥&quot;\.mmm&quot;¥&quot;&quot;¥&quot;\.yy"/>
    <numFmt numFmtId="177" formatCode="#,##0;\-#,##0;&quot;-&quot;"/>
    <numFmt numFmtId="178" formatCode="#,##0.0;[Red]\-#,##0.0"/>
    <numFmt numFmtId="179" formatCode="#,##0%;[Red]\-#,##0%"/>
    <numFmt numFmtId="180" formatCode="&quot;$&quot;#,##0.00_);[Red]\(&quot;$&quot;#,##0.00\)"/>
    <numFmt numFmtId="181" formatCode="&quot;$&quot;#,##0_);[Red]\(&quot;$&quot;#,##0\)"/>
    <numFmt numFmtId="182" formatCode="0.0"/>
  </numFmts>
  <fonts count="47">
    <font>
      <sz val="11"/>
      <name val="ＭＳ Ｐゴシック"/>
      <family val="3"/>
      <charset val="128"/>
    </font>
    <font>
      <sz val="11"/>
      <name val="ＭＳ Ｐゴシック"/>
      <family val="2"/>
      <charset val="128"/>
      <scheme val="minor"/>
    </font>
    <font>
      <sz val="11"/>
      <name val="ＭＳ Ｐゴシック"/>
      <family val="2"/>
      <charset val="128"/>
      <scheme val="minor"/>
    </font>
    <font>
      <sz val="11"/>
      <name val="ＭＳ Ｐゴシック"/>
      <family val="2"/>
      <charset val="128"/>
      <scheme val="minor"/>
    </font>
    <font>
      <sz val="11"/>
      <name val="ＭＳ Ｐゴシック"/>
      <family val="2"/>
      <charset val="128"/>
      <scheme val="minor"/>
    </font>
    <font>
      <sz val="6"/>
      <name val="ＭＳ Ｐゴシック"/>
      <family val="3"/>
      <charset val="128"/>
    </font>
    <font>
      <sz val="10"/>
      <name val="ＭＳ ゴシック"/>
      <family val="3"/>
      <charset val="128"/>
    </font>
    <font>
      <sz val="9"/>
      <name val="ＭＳ ゴシック"/>
      <family val="3"/>
      <charset val="128"/>
    </font>
    <font>
      <b/>
      <sz val="14"/>
      <name val="ＭＳ ゴシック"/>
      <family val="3"/>
      <charset val="128"/>
    </font>
    <font>
      <b/>
      <sz val="9"/>
      <name val="ＭＳ Ｐゴシック"/>
      <family val="3"/>
      <charset val="128"/>
    </font>
    <font>
      <u/>
      <sz val="12.65"/>
      <name val="ＭＳ Ｐゴシック"/>
      <family val="3"/>
      <charset val="128"/>
    </font>
    <font>
      <sz val="11"/>
      <name val="ＭＳ Ｐゴシック"/>
      <family val="3"/>
      <charset val="128"/>
    </font>
    <font>
      <sz val="11"/>
      <name val="ＭＳ Ｐゴシック"/>
      <family val="3"/>
      <charset val="128"/>
    </font>
    <font>
      <b/>
      <sz val="11"/>
      <name val="ＭＳ Ｐゴシック"/>
      <family val="3"/>
      <charset val="128"/>
    </font>
    <font>
      <sz val="11"/>
      <name val="ＭＳ Ｐゴシック"/>
      <family val="3"/>
      <charset val="128"/>
      <scheme val="minor"/>
    </font>
    <font>
      <sz val="10"/>
      <name val="Arial"/>
      <family val="2"/>
    </font>
    <font>
      <sz val="9"/>
      <name val="Times New Roman"/>
      <family val="1"/>
    </font>
    <font>
      <sz val="9"/>
      <name val="ＭＳ Ｐゴシック"/>
      <family val="3"/>
      <charset val="128"/>
    </font>
    <font>
      <b/>
      <sz val="12"/>
      <name val="Arial"/>
      <family val="2"/>
    </font>
    <font>
      <sz val="10"/>
      <name val="Arial"/>
      <family val="2"/>
    </font>
    <font>
      <sz val="8"/>
      <name val="Century Schoolbook"/>
      <family val="1"/>
    </font>
    <font>
      <b/>
      <i/>
      <sz val="10"/>
      <name val="Times New Roman"/>
      <family val="1"/>
    </font>
    <font>
      <b/>
      <sz val="9"/>
      <name val="Times New Roman"/>
      <family val="1"/>
    </font>
    <font>
      <sz val="11"/>
      <name val="明朝"/>
      <family val="1"/>
      <charset val="128"/>
    </font>
    <font>
      <b/>
      <sz val="10"/>
      <name val="ＭＳ Ｐゴシック"/>
      <family val="3"/>
      <charset val="128"/>
    </font>
    <font>
      <sz val="10"/>
      <name val="Osaka"/>
      <family val="3"/>
      <charset val="128"/>
    </font>
    <font>
      <sz val="9"/>
      <name val="ＭＳ Ｐゴシック"/>
      <family val="3"/>
      <charset val="128"/>
    </font>
    <font>
      <sz val="11"/>
      <name val="ＭＳ Ｐゴシック"/>
      <family val="3"/>
      <charset val="128"/>
    </font>
    <font>
      <sz val="10"/>
      <name val="MS Sans Serif"/>
      <family val="2"/>
    </font>
    <font>
      <sz val="8"/>
      <name val="ＭＳ Ｐゴシック"/>
      <family val="3"/>
      <charset val="128"/>
    </font>
    <font>
      <sz val="14"/>
      <name val="ＭＳ 明朝"/>
      <family val="1"/>
      <charset val="128"/>
    </font>
    <font>
      <b/>
      <sz val="11"/>
      <name val="ＭＳ Ｐゴシック"/>
      <family val="3"/>
      <charset val="128"/>
    </font>
    <font>
      <sz val="11"/>
      <name val="ＭＳ Ｐゴシック"/>
      <family val="3"/>
      <charset val="128"/>
    </font>
    <font>
      <sz val="11"/>
      <name val="ＭＳ Ｐゴシック"/>
      <family val="3"/>
      <charset val="128"/>
    </font>
    <font>
      <b/>
      <sz val="11"/>
      <name val="ＭＳ Ｐゴシック"/>
      <family val="3"/>
      <charset val="128"/>
    </font>
    <font>
      <b/>
      <sz val="18"/>
      <name val="ＭＳ Ｐゴシック"/>
      <family val="3"/>
      <charset val="128"/>
    </font>
    <font>
      <sz val="11"/>
      <name val="ＭＳ Ｐゴシック"/>
      <family val="3"/>
      <charset val="128"/>
    </font>
    <font>
      <sz val="11"/>
      <name val="ＭＳ Ｐゴシック"/>
      <family val="3"/>
      <charset val="128"/>
    </font>
    <font>
      <sz val="6"/>
      <name val="ＭＳ Ｐゴシック"/>
      <family val="3"/>
      <charset val="128"/>
      <scheme val="minor"/>
    </font>
    <font>
      <sz val="6"/>
      <name val="ＭＳ Ｐゴシック"/>
      <family val="2"/>
      <charset val="128"/>
      <scheme val="minor"/>
    </font>
    <font>
      <sz val="9"/>
      <name val="ＭＳ ゴシック"/>
      <family val="3"/>
      <charset val="128"/>
    </font>
    <font>
      <b/>
      <sz val="9"/>
      <name val="ＭＳ ゴシック"/>
      <family val="3"/>
      <charset val="128"/>
    </font>
    <font>
      <sz val="9"/>
      <name val="ＭＳ ゴシック"/>
      <family val="3"/>
      <charset val="128"/>
    </font>
    <font>
      <sz val="12.65"/>
      <name val="ＭＳ Ｐゴシック"/>
      <family val="3"/>
      <charset val="128"/>
    </font>
    <font>
      <u/>
      <sz val="12.65"/>
      <name val="ＭＳ Ｐゴシック"/>
      <family val="3"/>
      <charset val="128"/>
    </font>
    <font>
      <sz val="9"/>
      <name val="ＭＳ ゴシック"/>
      <family val="3"/>
      <charset val="128"/>
    </font>
    <font>
      <sz val="9"/>
      <color rgb="FFFF0000"/>
      <name val="ＭＳ ゴシック"/>
      <family val="3"/>
      <charset val="128"/>
    </font>
  </fonts>
  <fills count="14">
    <fill>
      <patternFill patternType="none"/>
    </fill>
    <fill>
      <patternFill patternType="gray125"/>
    </fill>
    <fill>
      <patternFill patternType="none">
        <fgColor auto="1"/>
        <bgColor auto="1"/>
      </patternFill>
    </fill>
    <fill>
      <patternFill patternType="none">
        <fgColor auto="1"/>
        <bgColor auto="1"/>
      </patternFill>
    </fill>
    <fill>
      <patternFill patternType="none">
        <fgColor auto="1"/>
        <bgColor auto="1"/>
      </patternFill>
    </fill>
    <fill>
      <patternFill patternType="none">
        <fgColor auto="1"/>
        <bgColor auto="1"/>
      </patternFill>
    </fill>
    <fill>
      <patternFill patternType="none">
        <fgColor auto="1"/>
        <bgColor auto="1"/>
      </patternFill>
    </fill>
    <fill>
      <patternFill patternType="none">
        <fgColor auto="1"/>
        <bgColor auto="1"/>
      </patternFill>
    </fill>
    <fill>
      <patternFill patternType="none">
        <fgColor auto="1"/>
        <bgColor auto="1"/>
      </patternFill>
    </fill>
    <fill>
      <patternFill patternType="none">
        <fgColor auto="1"/>
        <bgColor auto="1"/>
      </patternFill>
    </fill>
    <fill>
      <patternFill patternType="none">
        <fgColor auto="1"/>
        <bgColor auto="1"/>
      </patternFill>
    </fill>
    <fill>
      <patternFill patternType="none">
        <fgColor auto="1"/>
        <bgColor auto="1"/>
      </patternFill>
    </fill>
    <fill>
      <patternFill patternType="none">
        <fgColor auto="1"/>
        <bgColor auto="1"/>
      </patternFill>
    </fill>
    <fill>
      <patternFill patternType="solid">
        <fgColor rgb="FFFFFF00"/>
        <bgColor indexed="64"/>
      </patternFill>
    </fill>
  </fills>
  <borders count="3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auto="1"/>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right/>
      <top/>
      <bottom style="hair">
        <color auto="1"/>
      </bottom>
      <diagonal/>
    </border>
    <border>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medium">
        <color auto="1"/>
      </bottom>
      <diagonal/>
    </border>
    <border>
      <left/>
      <right/>
      <top/>
      <bottom style="double">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s>
  <cellStyleXfs count="196">
    <xf numFmtId="0" fontId="0" fillId="0" borderId="0"/>
    <xf numFmtId="0" fontId="6" fillId="0" borderId="0" applyBorder="0"/>
    <xf numFmtId="0" fontId="6" fillId="0" borderId="0"/>
    <xf numFmtId="0" fontId="10" fillId="0" borderId="0" applyNumberFormat="0" applyFill="0" applyBorder="0" applyAlignment="0" applyProtection="0">
      <alignment vertical="top"/>
      <protection locked="0"/>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12" fillId="4" borderId="0" applyNumberFormat="0" applyBorder="0" applyAlignment="0" applyProtection="0">
      <alignment vertical="center"/>
    </xf>
    <xf numFmtId="0" fontId="13" fillId="5" borderId="6" applyNumberFormat="0" applyAlignment="0" applyProtection="0">
      <alignment vertical="center"/>
    </xf>
    <xf numFmtId="176" fontId="11" fillId="0" borderId="1">
      <alignment horizontal="right"/>
    </xf>
    <xf numFmtId="176" fontId="11" fillId="0" borderId="1">
      <alignment horizontal="right"/>
    </xf>
    <xf numFmtId="176" fontId="11" fillId="0" borderId="1">
      <alignment horizontal="right"/>
    </xf>
    <xf numFmtId="0" fontId="14" fillId="3" borderId="0" applyNumberFormat="0" applyBorder="0" applyAlignment="0" applyProtection="0">
      <alignment vertical="center"/>
    </xf>
    <xf numFmtId="177" fontId="15" fillId="0" borderId="0" applyFill="0" applyBorder="0" applyAlignment="0"/>
    <xf numFmtId="0" fontId="16" fillId="0" borderId="0">
      <alignment horizontal="left"/>
    </xf>
    <xf numFmtId="49" fontId="17" fillId="0" borderId="0" applyFill="0" applyBorder="0">
      <alignment horizontal="left"/>
    </xf>
    <xf numFmtId="49" fontId="17" fillId="0" borderId="7" applyFill="0" applyBorder="0">
      <alignment horizontal="left"/>
    </xf>
    <xf numFmtId="0" fontId="18" fillId="0" borderId="8" applyNumberFormat="0" applyAlignment="0" applyProtection="0">
      <alignment horizontal="left" vertical="center"/>
    </xf>
    <xf numFmtId="0" fontId="18" fillId="0" borderId="4">
      <alignment horizontal="left" vertical="center"/>
    </xf>
    <xf numFmtId="0" fontId="19" fillId="0" borderId="0"/>
    <xf numFmtId="4" fontId="16" fillId="0" borderId="0">
      <alignment horizontal="right"/>
    </xf>
    <xf numFmtId="4" fontId="20" fillId="0" borderId="0">
      <alignment horizontal="right"/>
    </xf>
    <xf numFmtId="0" fontId="21" fillId="0" borderId="0">
      <alignment horizontal="left"/>
    </xf>
    <xf numFmtId="0" fontId="22" fillId="0" borderId="0">
      <alignment horizontal="center"/>
    </xf>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0" fontId="23" fillId="0" borderId="0"/>
    <xf numFmtId="0" fontId="24" fillId="6" borderId="9">
      <alignment vertical="center"/>
    </xf>
    <xf numFmtId="178" fontId="25" fillId="0" borderId="0" applyFont="0" applyFill="0" applyBorder="0" applyAlignment="0" applyProtection="0"/>
    <xf numFmtId="43" fontId="26" fillId="0" borderId="0" applyFont="0" applyFill="0" applyBorder="0" applyAlignment="0" applyProtection="0"/>
    <xf numFmtId="41" fontId="26" fillId="0" borderId="0" applyFont="0" applyFill="0" applyBorder="0" applyAlignment="0" applyProtection="0"/>
    <xf numFmtId="38" fontId="11" fillId="0" borderId="0" applyFont="0" applyFill="0" applyBorder="0" applyAlignment="0" applyProtection="0"/>
    <xf numFmtId="38" fontId="11" fillId="0" borderId="0" applyFont="0" applyFill="0" applyBorder="0" applyAlignment="0" applyProtection="0"/>
    <xf numFmtId="38" fontId="11" fillId="0" borderId="0" applyFont="0" applyFill="0" applyBorder="0" applyAlignment="0" applyProtection="0"/>
    <xf numFmtId="38" fontId="27" fillId="0" borderId="0" applyFont="0" applyFill="0" applyBorder="0" applyAlignment="0" applyProtection="0">
      <alignment vertical="center"/>
    </xf>
    <xf numFmtId="38" fontId="27" fillId="0" borderId="0" applyFont="0" applyFill="0" applyBorder="0" applyAlignment="0" applyProtection="0">
      <alignment vertical="center"/>
    </xf>
    <xf numFmtId="38" fontId="27" fillId="0" borderId="0" applyFont="0" applyFill="0" applyBorder="0" applyAlignment="0" applyProtection="0">
      <alignment vertical="center"/>
    </xf>
    <xf numFmtId="0" fontId="11" fillId="0" borderId="5" applyNumberFormat="0" applyFont="0" applyFill="0" applyBorder="0" applyProtection="0">
      <alignment vertical="top" wrapText="1"/>
      <protection locked="0"/>
    </xf>
    <xf numFmtId="179" fontId="25" fillId="0" borderId="0" applyFont="0" applyFill="0" applyBorder="0" applyAlignment="0" applyProtection="0"/>
    <xf numFmtId="180" fontId="28" fillId="0" borderId="0" applyFont="0" applyFill="0" applyBorder="0" applyAlignment="0" applyProtection="0"/>
    <xf numFmtId="181" fontId="28" fillId="0" borderId="0" applyFont="0" applyFill="0" applyBorder="0" applyAlignment="0" applyProtection="0"/>
    <xf numFmtId="182" fontId="25" fillId="0" borderId="0" applyFont="0" applyFill="0" applyBorder="0" applyAlignment="0" applyProtection="0"/>
    <xf numFmtId="0" fontId="29"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xf numFmtId="0" fontId="11" fillId="0" borderId="0"/>
    <xf numFmtId="0" fontId="11" fillId="0" borderId="0"/>
    <xf numFmtId="0" fontId="11" fillId="0" borderId="0">
      <alignment vertical="center"/>
    </xf>
    <xf numFmtId="0" fontId="11" fillId="0" borderId="0">
      <alignment vertical="center"/>
    </xf>
    <xf numFmtId="0" fontId="11" fillId="0" borderId="0">
      <alignment vertical="center"/>
    </xf>
    <xf numFmtId="0" fontId="27" fillId="0" borderId="0">
      <alignment vertical="center"/>
    </xf>
    <xf numFmtId="0" fontId="27" fillId="0" borderId="0">
      <alignment vertical="center"/>
    </xf>
    <xf numFmtId="0" fontId="27" fillId="0" borderId="0">
      <alignment vertical="center"/>
    </xf>
    <xf numFmtId="0" fontId="11" fillId="0" borderId="0"/>
    <xf numFmtId="0" fontId="14" fillId="0" borderId="0">
      <alignment vertical="center"/>
    </xf>
    <xf numFmtId="0" fontId="11" fillId="0" borderId="0">
      <alignment vertical="center"/>
    </xf>
    <xf numFmtId="0" fontId="11" fillId="0" borderId="0"/>
    <xf numFmtId="0" fontId="11" fillId="0" borderId="0"/>
    <xf numFmtId="0" fontId="27" fillId="0" borderId="0">
      <alignment vertical="center"/>
    </xf>
    <xf numFmtId="0" fontId="11" fillId="0" borderId="0">
      <alignment vertical="center"/>
    </xf>
    <xf numFmtId="0" fontId="11" fillId="0" borderId="0">
      <alignment vertical="center"/>
    </xf>
    <xf numFmtId="0" fontId="27" fillId="0" borderId="0">
      <alignment vertical="center"/>
    </xf>
    <xf numFmtId="0" fontId="11" fillId="0" borderId="0">
      <alignment vertical="center"/>
    </xf>
    <xf numFmtId="0" fontId="3" fillId="0" borderId="0">
      <alignment vertical="center"/>
    </xf>
    <xf numFmtId="0" fontId="27" fillId="0" borderId="0">
      <alignment vertical="center"/>
    </xf>
    <xf numFmtId="0" fontId="11" fillId="0" borderId="0">
      <alignment vertical="center"/>
    </xf>
    <xf numFmtId="0" fontId="11" fillId="0" borderId="0">
      <alignment vertical="center"/>
    </xf>
    <xf numFmtId="0" fontId="27" fillId="0" borderId="0">
      <alignment vertical="center"/>
    </xf>
    <xf numFmtId="0" fontId="11" fillId="0" borderId="0"/>
    <xf numFmtId="0" fontId="27" fillId="0" borderId="0">
      <alignment vertical="center"/>
    </xf>
    <xf numFmtId="0" fontId="27"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30" fillId="0" borderId="0"/>
    <xf numFmtId="0" fontId="31" fillId="5" borderId="10" applyNumberFormat="0" applyAlignment="0" applyProtection="0">
      <alignment vertical="center"/>
    </xf>
    <xf numFmtId="0" fontId="32" fillId="0" borderId="0" applyNumberFormat="0" applyFill="0" applyBorder="0" applyAlignment="0" applyProtection="0">
      <alignment vertical="center"/>
    </xf>
    <xf numFmtId="0" fontId="12" fillId="4" borderId="0" applyNumberFormat="0" applyBorder="0" applyAlignment="0" applyProtection="0">
      <alignment vertical="center"/>
    </xf>
    <xf numFmtId="0" fontId="13" fillId="5" borderId="11" applyNumberFormat="0" applyAlignment="0" applyProtection="0">
      <alignment vertical="center"/>
    </xf>
    <xf numFmtId="0" fontId="13" fillId="5" borderId="11" applyNumberFormat="0" applyAlignment="0" applyProtection="0">
      <alignment vertical="center"/>
    </xf>
    <xf numFmtId="0" fontId="33" fillId="7" borderId="0" applyNumberFormat="0" applyBorder="0" applyAlignment="0" applyProtection="0">
      <alignment vertical="center"/>
    </xf>
    <xf numFmtId="0" fontId="34" fillId="0" borderId="12" applyNumberFormat="0" applyFill="0" applyAlignment="0" applyProtection="0">
      <alignment vertical="center"/>
    </xf>
    <xf numFmtId="0" fontId="35" fillId="0" borderId="0" applyNumberFormat="0" applyFill="0" applyBorder="0" applyAlignment="0" applyProtection="0">
      <alignment vertical="center"/>
    </xf>
    <xf numFmtId="0" fontId="36" fillId="0" borderId="13" applyNumberFormat="0" applyFill="0" applyAlignment="0" applyProtection="0">
      <alignment vertical="center"/>
    </xf>
    <xf numFmtId="0" fontId="37" fillId="8" borderId="0" applyNumberFormat="0" applyBorder="0" applyAlignment="0" applyProtection="0">
      <alignment vertical="center"/>
    </xf>
    <xf numFmtId="0" fontId="27" fillId="9" borderId="0" applyNumberFormat="0" applyBorder="0" applyAlignment="0" applyProtection="0">
      <alignment vertical="center"/>
    </xf>
    <xf numFmtId="0" fontId="11" fillId="0" borderId="0"/>
    <xf numFmtId="0" fontId="19" fillId="0" borderId="0"/>
    <xf numFmtId="0" fontId="11" fillId="0" borderId="0"/>
    <xf numFmtId="0" fontId="11" fillId="0" borderId="0"/>
    <xf numFmtId="0" fontId="11" fillId="0" borderId="0"/>
    <xf numFmtId="0" fontId="11" fillId="0" borderId="0"/>
    <xf numFmtId="0" fontId="19" fillId="0" borderId="0"/>
    <xf numFmtId="0" fontId="11" fillId="0" borderId="0"/>
    <xf numFmtId="0" fontId="11" fillId="0" borderId="0"/>
    <xf numFmtId="0" fontId="13" fillId="5" borderId="11" applyNumberFormat="0" applyAlignment="0" applyProtection="0">
      <alignment vertical="center"/>
    </xf>
    <xf numFmtId="176" fontId="11" fillId="0" borderId="14">
      <alignment horizontal="right"/>
    </xf>
    <xf numFmtId="176" fontId="11" fillId="0" borderId="14">
      <alignment horizontal="right"/>
    </xf>
    <xf numFmtId="176" fontId="11" fillId="0" borderId="14">
      <alignment horizontal="right"/>
    </xf>
    <xf numFmtId="0" fontId="13" fillId="5" borderId="11" applyNumberFormat="0" applyAlignment="0" applyProtection="0">
      <alignment vertical="center"/>
    </xf>
    <xf numFmtId="0" fontId="13" fillId="5" borderId="11" applyNumberFormat="0" applyAlignment="0" applyProtection="0">
      <alignment vertical="center"/>
    </xf>
    <xf numFmtId="0" fontId="18" fillId="0" borderId="15">
      <alignment horizontal="left" vertical="center"/>
    </xf>
    <xf numFmtId="0" fontId="31" fillId="5" borderId="10" applyNumberFormat="0" applyAlignment="0" applyProtection="0">
      <alignment vertical="center"/>
    </xf>
    <xf numFmtId="0" fontId="11" fillId="0" borderId="5" applyNumberFormat="0" applyFont="0" applyFill="0" applyBorder="0" applyProtection="0">
      <alignment vertical="top" wrapText="1"/>
      <protection locked="0"/>
    </xf>
    <xf numFmtId="0" fontId="11" fillId="0" borderId="5" applyNumberFormat="0" applyFont="0" applyFill="0" applyBorder="0" applyProtection="0">
      <alignment vertical="top" wrapText="1"/>
      <protection locked="0"/>
    </xf>
    <xf numFmtId="0" fontId="31" fillId="5" borderId="10" applyNumberFormat="0" applyAlignment="0" applyProtection="0">
      <alignment vertical="center"/>
    </xf>
    <xf numFmtId="0" fontId="18" fillId="0" borderId="15">
      <alignment horizontal="left" vertical="center"/>
    </xf>
    <xf numFmtId="0" fontId="13" fillId="5" borderId="11" applyNumberFormat="0" applyAlignment="0" applyProtection="0">
      <alignment vertical="center"/>
    </xf>
    <xf numFmtId="0" fontId="13" fillId="5" borderId="11" applyNumberFormat="0" applyAlignment="0" applyProtection="0">
      <alignment vertical="center"/>
    </xf>
    <xf numFmtId="176" fontId="11" fillId="0" borderId="14">
      <alignment horizontal="right"/>
    </xf>
    <xf numFmtId="176" fontId="11" fillId="0" borderId="14">
      <alignment horizontal="right"/>
    </xf>
    <xf numFmtId="176" fontId="11" fillId="0" borderId="14">
      <alignment horizontal="right"/>
    </xf>
    <xf numFmtId="0" fontId="13" fillId="5" borderId="11" applyNumberFormat="0" applyAlignment="0" applyProtection="0">
      <alignment vertical="center"/>
    </xf>
    <xf numFmtId="0" fontId="11"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1"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3" fillId="5" borderId="11" applyNumberFormat="0" applyAlignment="0" applyProtection="0">
      <alignment vertical="center"/>
    </xf>
    <xf numFmtId="176" fontId="11" fillId="0" borderId="14">
      <alignment horizontal="right"/>
    </xf>
    <xf numFmtId="176" fontId="11" fillId="0" borderId="14">
      <alignment horizontal="right"/>
    </xf>
    <xf numFmtId="176" fontId="11" fillId="0" borderId="14">
      <alignment horizontal="right"/>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5" borderId="20" applyNumberFormat="0" applyAlignment="0" applyProtection="0">
      <alignment vertical="center"/>
    </xf>
    <xf numFmtId="0" fontId="11" fillId="0" borderId="19" applyNumberFormat="0" applyFont="0" applyFill="0" applyBorder="0" applyProtection="0">
      <alignment vertical="top" wrapText="1"/>
      <protection locked="0"/>
    </xf>
    <xf numFmtId="0" fontId="1" fillId="0" borderId="0">
      <alignment vertical="center"/>
    </xf>
    <xf numFmtId="0" fontId="13" fillId="5" borderId="20" applyNumberFormat="0" applyAlignment="0" applyProtection="0">
      <alignment vertical="center"/>
    </xf>
    <xf numFmtId="0" fontId="13" fillId="5" borderId="20" applyNumberFormat="0" applyAlignment="0" applyProtection="0">
      <alignment vertical="center"/>
    </xf>
    <xf numFmtId="0" fontId="13" fillId="5" borderId="20" applyNumberFormat="0" applyAlignment="0" applyProtection="0">
      <alignment vertical="center"/>
    </xf>
    <xf numFmtId="176" fontId="11" fillId="0" borderId="21">
      <alignment horizontal="right"/>
    </xf>
    <xf numFmtId="176" fontId="11" fillId="0" borderId="21">
      <alignment horizontal="right"/>
    </xf>
    <xf numFmtId="176" fontId="11" fillId="0" borderId="21">
      <alignment horizontal="right"/>
    </xf>
    <xf numFmtId="0" fontId="13" fillId="5" borderId="20" applyNumberFormat="0" applyAlignment="0" applyProtection="0">
      <alignment vertical="center"/>
    </xf>
    <xf numFmtId="0" fontId="13" fillId="5" borderId="20" applyNumberFormat="0" applyAlignment="0" applyProtection="0">
      <alignment vertical="center"/>
    </xf>
    <xf numFmtId="0" fontId="18" fillId="0" borderId="22">
      <alignment horizontal="left" vertical="center"/>
    </xf>
    <xf numFmtId="0" fontId="11" fillId="0" borderId="19" applyNumberFormat="0" applyFont="0" applyFill="0" applyBorder="0" applyProtection="0">
      <alignment vertical="top" wrapText="1"/>
      <protection locked="0"/>
    </xf>
    <xf numFmtId="0" fontId="11" fillId="0" borderId="19" applyNumberFormat="0" applyFont="0" applyFill="0" applyBorder="0" applyProtection="0">
      <alignment vertical="top" wrapText="1"/>
      <protection locked="0"/>
    </xf>
    <xf numFmtId="0" fontId="18" fillId="0" borderId="22">
      <alignment horizontal="left" vertical="center"/>
    </xf>
    <xf numFmtId="0" fontId="13" fillId="5" borderId="20" applyNumberFormat="0" applyAlignment="0" applyProtection="0">
      <alignment vertical="center"/>
    </xf>
    <xf numFmtId="0" fontId="13" fillId="5" borderId="20" applyNumberFormat="0" applyAlignment="0" applyProtection="0">
      <alignment vertical="center"/>
    </xf>
    <xf numFmtId="176" fontId="11" fillId="0" borderId="21">
      <alignment horizontal="right"/>
    </xf>
    <xf numFmtId="176" fontId="11" fillId="0" borderId="21">
      <alignment horizontal="right"/>
    </xf>
    <xf numFmtId="176" fontId="11" fillId="0" borderId="21">
      <alignment horizontal="right"/>
    </xf>
    <xf numFmtId="0" fontId="13" fillId="5" borderId="20"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5" borderId="20" applyNumberFormat="0" applyAlignment="0" applyProtection="0">
      <alignment vertical="center"/>
    </xf>
    <xf numFmtId="176" fontId="11" fillId="0" borderId="21">
      <alignment horizontal="right"/>
    </xf>
    <xf numFmtId="176" fontId="11" fillId="0" borderId="21">
      <alignment horizontal="right"/>
    </xf>
    <xf numFmtId="176" fontId="11" fillId="0" borderId="21">
      <alignment horizontal="right"/>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114">
    <xf numFmtId="0" fontId="0" fillId="0" borderId="0" xfId="0"/>
    <xf numFmtId="0" fontId="7" fillId="0" borderId="0" xfId="0" applyFont="1"/>
    <xf numFmtId="0" fontId="7" fillId="0" borderId="0" xfId="0" applyFont="1" applyAlignment="1">
      <alignment vertical="top"/>
    </xf>
    <xf numFmtId="0" fontId="10" fillId="0" borderId="0" xfId="3" applyAlignment="1" applyProtection="1"/>
    <xf numFmtId="0" fontId="0" fillId="11" borderId="28" xfId="0" applyFill="1" applyBorder="1"/>
    <xf numFmtId="0" fontId="0" fillId="11" borderId="29" xfId="0" applyFill="1" applyBorder="1"/>
    <xf numFmtId="0" fontId="7" fillId="11" borderId="29" xfId="0" applyFont="1" applyFill="1" applyBorder="1" applyAlignment="1">
      <alignment vertical="top"/>
    </xf>
    <xf numFmtId="0" fontId="7" fillId="11" borderId="30" xfId="0" applyFont="1" applyFill="1" applyBorder="1" applyAlignment="1">
      <alignment vertical="top"/>
    </xf>
    <xf numFmtId="0" fontId="0" fillId="11" borderId="31" xfId="0" applyFill="1" applyBorder="1"/>
    <xf numFmtId="0" fontId="0" fillId="11" borderId="0" xfId="0" applyFill="1"/>
    <xf numFmtId="0" fontId="7" fillId="11" borderId="0" xfId="0" applyFont="1" applyFill="1" applyAlignment="1">
      <alignment vertical="top"/>
    </xf>
    <xf numFmtId="0" fontId="7" fillId="11" borderId="32" xfId="0" applyFont="1" applyFill="1" applyBorder="1" applyAlignment="1">
      <alignment vertical="top"/>
    </xf>
    <xf numFmtId="0" fontId="0" fillId="11" borderId="33" xfId="0" applyFill="1" applyBorder="1"/>
    <xf numFmtId="0" fontId="7" fillId="11" borderId="34" xfId="0" applyFont="1" applyFill="1" applyBorder="1" applyAlignment="1">
      <alignment vertical="top"/>
    </xf>
    <xf numFmtId="0" fontId="7" fillId="11" borderId="35" xfId="0" applyFont="1" applyFill="1" applyBorder="1" applyAlignment="1">
      <alignment vertical="top"/>
    </xf>
    <xf numFmtId="0" fontId="40" fillId="0" borderId="0" xfId="0" applyFont="1" applyAlignment="1">
      <alignment vertical="top"/>
    </xf>
    <xf numFmtId="49" fontId="40" fillId="0" borderId="0" xfId="0" applyNumberFormat="1" applyFont="1" applyAlignment="1">
      <alignment vertical="top"/>
    </xf>
    <xf numFmtId="0" fontId="41" fillId="0" borderId="0" xfId="0" applyFont="1" applyAlignment="1">
      <alignment vertical="top"/>
    </xf>
    <xf numFmtId="0" fontId="43" fillId="0" borderId="0" xfId="3" applyFont="1" applyAlignment="1" applyProtection="1"/>
    <xf numFmtId="0" fontId="44" fillId="0" borderId="0" xfId="3" applyFont="1" applyAlignment="1" applyProtection="1"/>
    <xf numFmtId="49" fontId="7" fillId="0" borderId="0" xfId="0" applyNumberFormat="1" applyFont="1" applyAlignment="1">
      <alignment vertical="top"/>
    </xf>
    <xf numFmtId="49" fontId="7" fillId="0" borderId="26" xfId="0" applyNumberFormat="1" applyFont="1" applyBorder="1" applyAlignment="1">
      <alignment horizontal="left" vertical="top" wrapText="1"/>
    </xf>
    <xf numFmtId="49" fontId="7" fillId="0" borderId="21" xfId="0" applyNumberFormat="1" applyFont="1" applyBorder="1" applyAlignment="1">
      <alignment horizontal="left" vertical="top" wrapText="1"/>
    </xf>
    <xf numFmtId="0" fontId="7" fillId="0" borderId="21" xfId="0" applyFont="1" applyBorder="1" applyAlignment="1">
      <alignment horizontal="left" vertical="top" wrapText="1"/>
    </xf>
    <xf numFmtId="49" fontId="7" fillId="0" borderId="27" xfId="0" applyNumberFormat="1" applyFont="1" applyBorder="1" applyAlignment="1">
      <alignment horizontal="left" vertical="top" wrapText="1"/>
    </xf>
    <xf numFmtId="49" fontId="7" fillId="0" borderId="26" xfId="153" applyNumberFormat="1" applyFont="1" applyBorder="1" applyAlignment="1">
      <alignment horizontal="left" vertical="top" wrapText="1"/>
    </xf>
    <xf numFmtId="49" fontId="7" fillId="0" borderId="21" xfId="153" applyNumberFormat="1" applyFont="1" applyBorder="1" applyAlignment="1">
      <alignment horizontal="center" vertical="top" wrapText="1"/>
    </xf>
    <xf numFmtId="49" fontId="7" fillId="0" borderId="21" xfId="153" applyNumberFormat="1" applyFont="1" applyBorder="1" applyAlignment="1">
      <alignment horizontal="left" vertical="top" wrapText="1"/>
    </xf>
    <xf numFmtId="49" fontId="7" fillId="0" borderId="24" xfId="0" applyNumberFormat="1" applyFont="1" applyBorder="1" applyAlignment="1">
      <alignment horizontal="left" vertical="top" wrapText="1"/>
    </xf>
    <xf numFmtId="49" fontId="7" fillId="0" borderId="27" xfId="153" applyNumberFormat="1" applyFont="1" applyBorder="1" applyAlignment="1">
      <alignment horizontal="left" vertical="top" wrapText="1"/>
    </xf>
    <xf numFmtId="0" fontId="7" fillId="0" borderId="21" xfId="153" applyFont="1" applyBorder="1" applyAlignment="1">
      <alignment horizontal="left" vertical="top" wrapText="1"/>
    </xf>
    <xf numFmtId="49" fontId="7" fillId="0" borderId="25" xfId="0" applyNumberFormat="1" applyFont="1" applyBorder="1" applyAlignment="1">
      <alignment horizontal="left" vertical="top" wrapText="1"/>
    </xf>
    <xf numFmtId="49" fontId="7" fillId="0" borderId="24" xfId="153" applyNumberFormat="1" applyFont="1" applyBorder="1" applyAlignment="1">
      <alignment vertical="top" wrapText="1"/>
    </xf>
    <xf numFmtId="49" fontId="7" fillId="0" borderId="26" xfId="153" applyNumberFormat="1" applyFont="1" applyBorder="1" applyAlignment="1">
      <alignment vertical="top" wrapText="1"/>
    </xf>
    <xf numFmtId="49" fontId="7" fillId="0" borderId="25" xfId="153" applyNumberFormat="1" applyFont="1" applyBorder="1" applyAlignment="1">
      <alignment vertical="top" wrapText="1"/>
    </xf>
    <xf numFmtId="0" fontId="7" fillId="0" borderId="21" xfId="0" applyFont="1" applyBorder="1" applyAlignment="1">
      <alignment vertical="top"/>
    </xf>
    <xf numFmtId="0" fontId="17" fillId="0" borderId="0" xfId="3" applyFont="1" applyAlignment="1" applyProtection="1"/>
    <xf numFmtId="49" fontId="7" fillId="0" borderId="21" xfId="0" applyNumberFormat="1" applyFont="1" applyBorder="1" applyAlignment="1">
      <alignment horizontal="center" vertical="top" wrapText="1"/>
    </xf>
    <xf numFmtId="49" fontId="7" fillId="0" borderId="23" xfId="149" applyNumberFormat="1" applyFont="1" applyBorder="1" applyAlignment="1">
      <alignment horizontal="left" vertical="top" wrapText="1"/>
    </xf>
    <xf numFmtId="49" fontId="7" fillId="0" borderId="3" xfId="4" applyNumberFormat="1" applyFont="1" applyBorder="1">
      <alignment vertical="center"/>
    </xf>
    <xf numFmtId="49" fontId="7" fillId="0" borderId="3" xfId="6" applyNumberFormat="1" applyFont="1" applyBorder="1">
      <alignment vertical="center"/>
    </xf>
    <xf numFmtId="49" fontId="7" fillId="0" borderId="16" xfId="149" applyNumberFormat="1" applyFont="1" applyBorder="1" applyAlignment="1">
      <alignment horizontal="left" vertical="top" wrapText="1"/>
    </xf>
    <xf numFmtId="49" fontId="7" fillId="0" borderId="2" xfId="4" applyNumberFormat="1" applyFont="1" applyBorder="1">
      <alignment vertical="center"/>
    </xf>
    <xf numFmtId="49" fontId="7" fillId="0" borderId="2" xfId="6" applyNumberFormat="1" applyFont="1" applyBorder="1">
      <alignment vertical="center"/>
    </xf>
    <xf numFmtId="49" fontId="7" fillId="0" borderId="17" xfId="149" applyNumberFormat="1" applyFont="1" applyBorder="1" applyAlignment="1">
      <alignment horizontal="left" vertical="top" wrapText="1"/>
    </xf>
    <xf numFmtId="0" fontId="7" fillId="0" borderId="21" xfId="7" applyFont="1" applyBorder="1">
      <alignment vertical="center"/>
    </xf>
    <xf numFmtId="0" fontId="7" fillId="0" borderId="21" xfId="133" applyFont="1" applyBorder="1" applyAlignment="1">
      <alignment horizontal="left" vertical="top" wrapText="1"/>
    </xf>
    <xf numFmtId="49" fontId="7" fillId="0" borderId="18" xfId="149" applyNumberFormat="1" applyFont="1" applyBorder="1" applyAlignment="1">
      <alignment horizontal="left" vertical="top" wrapText="1"/>
    </xf>
    <xf numFmtId="0" fontId="7" fillId="0" borderId="36" xfId="0" applyFont="1" applyBorder="1" applyAlignment="1">
      <alignment vertical="top"/>
    </xf>
    <xf numFmtId="0" fontId="7" fillId="0" borderId="36" xfId="153" applyFont="1" applyBorder="1" applyAlignment="1">
      <alignment vertical="top"/>
    </xf>
    <xf numFmtId="0" fontId="7" fillId="0" borderId="36" xfId="0" applyFont="1" applyBorder="1" applyAlignment="1">
      <alignment horizontal="left" vertical="top" wrapText="1"/>
    </xf>
    <xf numFmtId="0" fontId="7" fillId="0" borderId="36" xfId="153" applyFont="1" applyBorder="1" applyAlignment="1">
      <alignment vertical="top" wrapText="1"/>
    </xf>
    <xf numFmtId="0" fontId="7" fillId="0" borderId="21" xfId="153" applyFont="1" applyBorder="1" applyAlignment="1">
      <alignment vertical="top"/>
    </xf>
    <xf numFmtId="49" fontId="7" fillId="0" borderId="26" xfId="0" applyNumberFormat="1" applyFont="1" applyBorder="1" applyAlignment="1">
      <alignment vertical="top" wrapText="1"/>
    </xf>
    <xf numFmtId="49" fontId="7" fillId="0" borderId="25" xfId="0" applyNumberFormat="1" applyFont="1" applyBorder="1" applyAlignment="1">
      <alignment vertical="top" wrapText="1"/>
    </xf>
    <xf numFmtId="0" fontId="7" fillId="0" borderId="36" xfId="0" applyFont="1" applyBorder="1" applyAlignment="1">
      <alignment vertical="top" wrapText="1"/>
    </xf>
    <xf numFmtId="0" fontId="7" fillId="0" borderId="27" xfId="0" applyFont="1" applyBorder="1" applyAlignment="1">
      <alignment vertical="top" wrapText="1"/>
    </xf>
    <xf numFmtId="49" fontId="7" fillId="0" borderId="21" xfId="0" applyNumberFormat="1" applyFont="1" applyBorder="1" applyAlignment="1">
      <alignment vertical="top" wrapText="1"/>
    </xf>
    <xf numFmtId="49" fontId="7" fillId="2" borderId="22" xfId="0" applyNumberFormat="1" applyFont="1" applyFill="1" applyBorder="1" applyAlignment="1">
      <alignment vertical="top"/>
    </xf>
    <xf numFmtId="0" fontId="7" fillId="10" borderId="36" xfId="0" applyFont="1" applyFill="1" applyBorder="1" applyAlignment="1">
      <alignment vertical="top"/>
    </xf>
    <xf numFmtId="49" fontId="7" fillId="0" borderId="21" xfId="0" applyNumberFormat="1" applyFont="1" applyBorder="1" applyAlignment="1">
      <alignment vertical="top"/>
    </xf>
    <xf numFmtId="0" fontId="42" fillId="0" borderId="36" xfId="0" applyFont="1" applyBorder="1" applyAlignment="1">
      <alignment vertical="top"/>
    </xf>
    <xf numFmtId="49" fontId="7" fillId="2" borderId="36" xfId="0" applyNumberFormat="1" applyFont="1" applyFill="1" applyBorder="1" applyAlignment="1">
      <alignment vertical="top"/>
    </xf>
    <xf numFmtId="49" fontId="7" fillId="2" borderId="21" xfId="0" applyNumberFormat="1" applyFont="1" applyFill="1" applyBorder="1" applyAlignment="1">
      <alignment vertical="top"/>
    </xf>
    <xf numFmtId="49" fontId="7" fillId="2" borderId="36" xfId="0" applyNumberFormat="1" applyFont="1" applyFill="1" applyBorder="1" applyAlignment="1">
      <alignment vertical="top" wrapText="1"/>
    </xf>
    <xf numFmtId="0" fontId="7" fillId="2" borderId="21" xfId="0" applyFont="1" applyFill="1" applyBorder="1" applyAlignment="1">
      <alignment vertical="top"/>
    </xf>
    <xf numFmtId="49" fontId="7" fillId="0" borderId="21" xfId="0" quotePrefix="1" applyNumberFormat="1" applyFont="1" applyBorder="1" applyAlignment="1">
      <alignment horizontal="left" vertical="top" wrapText="1"/>
    </xf>
    <xf numFmtId="0" fontId="7" fillId="2" borderId="21" xfId="0" applyFont="1" applyFill="1" applyBorder="1"/>
    <xf numFmtId="0" fontId="8" fillId="0" borderId="21" xfId="0" applyFont="1" applyBorder="1"/>
    <xf numFmtId="49" fontId="7" fillId="0" borderId="3" xfId="6" applyNumberFormat="1" applyFont="1" applyBorder="1" applyAlignment="1">
      <alignment horizontal="left" vertical="top"/>
    </xf>
    <xf numFmtId="49" fontId="7" fillId="2" borderId="21" xfId="0" applyNumberFormat="1" applyFont="1" applyFill="1" applyBorder="1" applyAlignment="1">
      <alignment horizontal="center" vertical="top" wrapText="1"/>
    </xf>
    <xf numFmtId="0" fontId="7" fillId="2" borderId="27" xfId="0" applyFont="1" applyFill="1" applyBorder="1" applyAlignment="1">
      <alignment vertical="top" wrapText="1"/>
    </xf>
    <xf numFmtId="49" fontId="7" fillId="2" borderId="21" xfId="0" applyNumberFormat="1" applyFont="1" applyFill="1" applyBorder="1" applyAlignment="1">
      <alignment vertical="top" wrapText="1"/>
    </xf>
    <xf numFmtId="49" fontId="7" fillId="2" borderId="21" xfId="0" applyNumberFormat="1" applyFont="1" applyFill="1" applyBorder="1" applyAlignment="1">
      <alignment horizontal="left" vertical="top" wrapText="1"/>
    </xf>
    <xf numFmtId="0" fontId="7" fillId="2" borderId="36" xfId="0" applyFont="1" applyFill="1" applyBorder="1" applyAlignment="1">
      <alignment vertical="top"/>
    </xf>
    <xf numFmtId="49" fontId="7" fillId="2" borderId="27" xfId="0" applyNumberFormat="1" applyFont="1" applyFill="1" applyBorder="1" applyAlignment="1">
      <alignment horizontal="left" vertical="top" wrapText="1"/>
    </xf>
    <xf numFmtId="0" fontId="7" fillId="2" borderId="21" xfId="0" applyFont="1" applyFill="1" applyBorder="1" applyAlignment="1">
      <alignment horizontal="left" vertical="top" wrapText="1"/>
    </xf>
    <xf numFmtId="49" fontId="45" fillId="0" borderId="26" xfId="153" applyNumberFormat="1" applyFont="1" applyBorder="1" applyAlignment="1">
      <alignment horizontal="left" vertical="top" wrapText="1"/>
    </xf>
    <xf numFmtId="49" fontId="45" fillId="0" borderId="21" xfId="0" applyNumberFormat="1" applyFont="1" applyBorder="1" applyAlignment="1">
      <alignment horizontal="center" vertical="top" wrapText="1"/>
    </xf>
    <xf numFmtId="49" fontId="45" fillId="0" borderId="27" xfId="0" applyNumberFormat="1" applyFont="1" applyBorder="1" applyAlignment="1">
      <alignment horizontal="left" vertical="top" wrapText="1"/>
    </xf>
    <xf numFmtId="49" fontId="45" fillId="0" borderId="21" xfId="0" applyNumberFormat="1" applyFont="1" applyBorder="1" applyAlignment="1">
      <alignment horizontal="left" vertical="top" wrapText="1"/>
    </xf>
    <xf numFmtId="0" fontId="45" fillId="0" borderId="21" xfId="0" applyFont="1" applyBorder="1" applyAlignment="1">
      <alignment horizontal="left" vertical="top" wrapText="1"/>
    </xf>
    <xf numFmtId="0" fontId="45" fillId="0" borderId="36" xfId="0" applyFont="1" applyBorder="1" applyAlignment="1">
      <alignment vertical="top"/>
    </xf>
    <xf numFmtId="0" fontId="45" fillId="0" borderId="21" xfId="0" applyFont="1" applyBorder="1" applyAlignment="1">
      <alignment vertical="top"/>
    </xf>
    <xf numFmtId="49" fontId="7" fillId="12" borderId="21" xfId="0" applyNumberFormat="1" applyFont="1" applyFill="1" applyBorder="1" applyAlignment="1">
      <alignment horizontal="center" vertical="top" wrapText="1"/>
    </xf>
    <xf numFmtId="49" fontId="7" fillId="12" borderId="27" xfId="0" applyNumberFormat="1" applyFont="1" applyFill="1" applyBorder="1" applyAlignment="1">
      <alignment horizontal="left" vertical="top" wrapText="1"/>
    </xf>
    <xf numFmtId="49" fontId="7" fillId="12" borderId="21" xfId="0" applyNumberFormat="1" applyFont="1" applyFill="1" applyBorder="1" applyAlignment="1">
      <alignment horizontal="left" vertical="top" wrapText="1"/>
    </xf>
    <xf numFmtId="0" fontId="7" fillId="12" borderId="21" xfId="0" applyFont="1" applyFill="1" applyBorder="1" applyAlignment="1">
      <alignment horizontal="left" vertical="top" wrapText="1"/>
    </xf>
    <xf numFmtId="0" fontId="7" fillId="12" borderId="36" xfId="0" applyFont="1" applyFill="1" applyBorder="1" applyAlignment="1">
      <alignment vertical="top"/>
    </xf>
    <xf numFmtId="0" fontId="7" fillId="12" borderId="21" xfId="0" applyFont="1" applyFill="1" applyBorder="1" applyAlignment="1">
      <alignment vertical="top"/>
    </xf>
    <xf numFmtId="49" fontId="7" fillId="12" borderId="26" xfId="0" applyNumberFormat="1" applyFont="1" applyFill="1" applyBorder="1" applyAlignment="1">
      <alignment horizontal="left" vertical="top" wrapText="1"/>
    </xf>
    <xf numFmtId="49" fontId="7" fillId="12" borderId="21" xfId="153" applyNumberFormat="1" applyFont="1" applyFill="1" applyBorder="1" applyAlignment="1">
      <alignment horizontal="center" vertical="top" wrapText="1"/>
    </xf>
    <xf numFmtId="49" fontId="7" fillId="12" borderId="27" xfId="153" applyNumberFormat="1" applyFont="1" applyFill="1" applyBorder="1" applyAlignment="1">
      <alignment horizontal="left" vertical="top" wrapText="1"/>
    </xf>
    <xf numFmtId="49" fontId="7" fillId="12" borderId="21" xfId="153" applyNumberFormat="1" applyFont="1" applyFill="1" applyBorder="1" applyAlignment="1">
      <alignment horizontal="left" vertical="top" wrapText="1"/>
    </xf>
    <xf numFmtId="0" fontId="7" fillId="12" borderId="21" xfId="153" applyFont="1" applyFill="1" applyBorder="1" applyAlignment="1">
      <alignment horizontal="left" vertical="top" wrapText="1"/>
    </xf>
    <xf numFmtId="0" fontId="7" fillId="12" borderId="36" xfId="153" applyFont="1" applyFill="1" applyBorder="1" applyAlignment="1">
      <alignment vertical="top"/>
    </xf>
    <xf numFmtId="49" fontId="7" fillId="0" borderId="25" xfId="0" applyNumberFormat="1" applyFont="1" applyBorder="1" applyAlignment="1">
      <alignment horizontal="center" vertical="top" wrapText="1"/>
    </xf>
    <xf numFmtId="49" fontId="7" fillId="0" borderId="35" xfId="0" applyNumberFormat="1" applyFont="1" applyBorder="1" applyAlignment="1">
      <alignment horizontal="left" vertical="top" wrapText="1"/>
    </xf>
    <xf numFmtId="49" fontId="7" fillId="0" borderId="37" xfId="6" applyNumberFormat="1" applyFont="1" applyBorder="1">
      <alignment vertical="center"/>
    </xf>
    <xf numFmtId="0" fontId="7" fillId="0" borderId="25" xfId="0" applyFont="1" applyBorder="1" applyAlignment="1">
      <alignment horizontal="left" vertical="top" wrapText="1"/>
    </xf>
    <xf numFmtId="0" fontId="7" fillId="0" borderId="25" xfId="0" applyFont="1" applyBorder="1" applyAlignment="1">
      <alignment vertical="top"/>
    </xf>
    <xf numFmtId="0" fontId="7" fillId="0" borderId="0" xfId="153" applyFont="1" applyFill="1" applyAlignment="1">
      <alignment vertical="top"/>
    </xf>
    <xf numFmtId="49" fontId="7" fillId="0" borderId="26" xfId="0" applyNumberFormat="1" applyFont="1" applyFill="1" applyBorder="1" applyAlignment="1">
      <alignment horizontal="left" vertical="top" wrapText="1"/>
    </xf>
    <xf numFmtId="49" fontId="42" fillId="0" borderId="21" xfId="153" applyNumberFormat="1" applyFont="1" applyFill="1" applyBorder="1" applyAlignment="1">
      <alignment horizontal="center" vertical="top" wrapText="1"/>
    </xf>
    <xf numFmtId="49" fontId="42" fillId="0" borderId="27" xfId="153" applyNumberFormat="1" applyFont="1" applyFill="1" applyBorder="1" applyAlignment="1">
      <alignment horizontal="left" vertical="top" wrapText="1"/>
    </xf>
    <xf numFmtId="49" fontId="42" fillId="0" borderId="21" xfId="153" applyNumberFormat="1" applyFont="1" applyFill="1" applyBorder="1" applyAlignment="1">
      <alignment horizontal="left" vertical="top" wrapText="1"/>
    </xf>
    <xf numFmtId="0" fontId="42" fillId="0" borderId="21" xfId="153" applyFont="1" applyFill="1" applyBorder="1" applyAlignment="1">
      <alignment horizontal="left" vertical="top" wrapText="1"/>
    </xf>
    <xf numFmtId="0" fontId="42" fillId="0" borderId="36" xfId="153" applyFont="1" applyFill="1" applyBorder="1" applyAlignment="1">
      <alignment vertical="top" wrapText="1"/>
    </xf>
    <xf numFmtId="0" fontId="42" fillId="0" borderId="21" xfId="0" applyFont="1" applyFill="1" applyBorder="1" applyAlignment="1">
      <alignment vertical="top"/>
    </xf>
    <xf numFmtId="49" fontId="7" fillId="0" borderId="25" xfId="0" applyNumberFormat="1" applyFont="1" applyFill="1" applyBorder="1" applyAlignment="1">
      <alignment horizontal="left" vertical="top" wrapText="1"/>
    </xf>
    <xf numFmtId="0" fontId="7" fillId="0" borderId="21" xfId="133" applyFont="1" applyFill="1" applyBorder="1" applyAlignment="1">
      <alignment horizontal="left" vertical="top" wrapText="1"/>
    </xf>
    <xf numFmtId="0" fontId="7" fillId="13" borderId="21" xfId="0" applyFont="1" applyFill="1" applyBorder="1" applyAlignment="1">
      <alignment horizontal="left" vertical="top" wrapText="1"/>
    </xf>
    <xf numFmtId="49" fontId="7" fillId="13" borderId="21" xfId="0" applyNumberFormat="1" applyFont="1" applyFill="1" applyBorder="1" applyAlignment="1">
      <alignment horizontal="left" vertical="top" wrapText="1"/>
    </xf>
    <xf numFmtId="49" fontId="7" fillId="13" borderId="27" xfId="0" applyNumberFormat="1" applyFont="1" applyFill="1" applyBorder="1" applyAlignment="1">
      <alignment horizontal="left" vertical="top" wrapText="1"/>
    </xf>
  </cellXfs>
  <cellStyles count="196">
    <cellStyle name="?" xfId="8" xr:uid="{00000000-0005-0000-0000-000000000000}"/>
    <cellStyle name="?_テスト状況管理表20091211" xfId="9" xr:uid="{00000000-0005-0000-0000-000001000000}"/>
    <cellStyle name="?_テスト状況管理表20091211 2" xfId="115" xr:uid="{00000000-0005-0000-0000-000002000000}"/>
    <cellStyle name="?_テスト状況管理表20091211 2 2" xfId="163" xr:uid="{00000000-0005-0000-0000-000003000000}"/>
    <cellStyle name="?_テスト状況管理表20091211 3" xfId="132" xr:uid="{00000000-0005-0000-0000-000004000000}"/>
    <cellStyle name="?_テスト状況管理表20091211 3 2" xfId="178" xr:uid="{00000000-0005-0000-0000-000005000000}"/>
    <cellStyle name="?_テスト状況管理表20091211 4" xfId="143" xr:uid="{00000000-0005-0000-0000-000006000000}"/>
    <cellStyle name="?_テスト状況管理表20091211 4 2" xfId="187" xr:uid="{00000000-0005-0000-0000-000007000000}"/>
    <cellStyle name="?_テスト状況管理表20091211 5" xfId="158" xr:uid="{00000000-0005-0000-0000-000008000000}"/>
    <cellStyle name="11.5" xfId="10" xr:uid="{00000000-0005-0000-0000-000009000000}"/>
    <cellStyle name="11.5 2" xfId="11" xr:uid="{00000000-0005-0000-0000-00000A000000}"/>
    <cellStyle name="11.5 2 2" xfId="117" xr:uid="{00000000-0005-0000-0000-00000B000000}"/>
    <cellStyle name="11.5 2 2 2" xfId="165" xr:uid="{00000000-0005-0000-0000-00000C000000}"/>
    <cellStyle name="11.5 2 3" xfId="130" xr:uid="{00000000-0005-0000-0000-00000D000000}"/>
    <cellStyle name="11.5 2 3 2" xfId="176" xr:uid="{00000000-0005-0000-0000-00000E000000}"/>
    <cellStyle name="11.5 2 4" xfId="145" xr:uid="{00000000-0005-0000-0000-00000F000000}"/>
    <cellStyle name="11.5 2 4 2" xfId="189" xr:uid="{00000000-0005-0000-0000-000010000000}"/>
    <cellStyle name="11.5 3" xfId="12" xr:uid="{00000000-0005-0000-0000-000011000000}"/>
    <cellStyle name="11.5 3 2" xfId="118" xr:uid="{00000000-0005-0000-0000-000012000000}"/>
    <cellStyle name="11.5 3 2 2" xfId="166" xr:uid="{00000000-0005-0000-0000-000013000000}"/>
    <cellStyle name="11.5 3 3" xfId="129" xr:uid="{00000000-0005-0000-0000-000014000000}"/>
    <cellStyle name="11.5 3 3 2" xfId="175" xr:uid="{00000000-0005-0000-0000-000015000000}"/>
    <cellStyle name="11.5 3 4" xfId="146" xr:uid="{00000000-0005-0000-0000-000016000000}"/>
    <cellStyle name="11.5 3 4 2" xfId="190" xr:uid="{00000000-0005-0000-0000-000017000000}"/>
    <cellStyle name="11.5 4" xfId="116" xr:uid="{00000000-0005-0000-0000-000018000000}"/>
    <cellStyle name="11.5 4 2" xfId="164" xr:uid="{00000000-0005-0000-0000-000019000000}"/>
    <cellStyle name="11.5 5" xfId="131" xr:uid="{00000000-0005-0000-0000-00001A000000}"/>
    <cellStyle name="11.5 5 2" xfId="177" xr:uid="{00000000-0005-0000-0000-00001B000000}"/>
    <cellStyle name="11.5 6" xfId="144" xr:uid="{00000000-0005-0000-0000-00001C000000}"/>
    <cellStyle name="11.5 6 2" xfId="188" xr:uid="{00000000-0005-0000-0000-00001D000000}"/>
    <cellStyle name="20% - アクセント 5 2" xfId="13" xr:uid="{00000000-0005-0000-0000-00001E000000}"/>
    <cellStyle name="Calc Currency (0)" xfId="14" xr:uid="{00000000-0005-0000-0000-00001F000000}"/>
    <cellStyle name="entry" xfId="15" xr:uid="{00000000-0005-0000-0000-000020000000}"/>
    <cellStyle name="FONT9" xfId="16" xr:uid="{00000000-0005-0000-0000-000021000000}"/>
    <cellStyle name="font9 right" xfId="17" xr:uid="{00000000-0005-0000-0000-000022000000}"/>
    <cellStyle name="Header1" xfId="18" xr:uid="{00000000-0005-0000-0000-000023000000}"/>
    <cellStyle name="Header2" xfId="19" xr:uid="{00000000-0005-0000-0000-000024000000}"/>
    <cellStyle name="Header2 2" xfId="121" xr:uid="{00000000-0005-0000-0000-000025000000}"/>
    <cellStyle name="Header2 2 2" xfId="169" xr:uid="{00000000-0005-0000-0000-000026000000}"/>
    <cellStyle name="Header2 3" xfId="126" xr:uid="{00000000-0005-0000-0000-000027000000}"/>
    <cellStyle name="Header2 3 2" xfId="172" xr:uid="{00000000-0005-0000-0000-000028000000}"/>
    <cellStyle name="IBM(401K)" xfId="1" xr:uid="{00000000-0005-0000-0000-000029000000}"/>
    <cellStyle name="J401K" xfId="2" xr:uid="{00000000-0005-0000-0000-00002A000000}"/>
    <cellStyle name="Normal_#18-Internet" xfId="20" xr:uid="{00000000-0005-0000-0000-00002B000000}"/>
    <cellStyle name="price" xfId="21" xr:uid="{00000000-0005-0000-0000-00002C000000}"/>
    <cellStyle name="revised" xfId="22" xr:uid="{00000000-0005-0000-0000-00002D000000}"/>
    <cellStyle name="section" xfId="23" xr:uid="{00000000-0005-0000-0000-00002E000000}"/>
    <cellStyle name="title" xfId="24" xr:uid="{00000000-0005-0000-0000-00002F000000}"/>
    <cellStyle name="パーセント 2" xfId="25" xr:uid="{00000000-0005-0000-0000-000030000000}"/>
    <cellStyle name="パーセント 2 2" xfId="26" xr:uid="{00000000-0005-0000-0000-000031000000}"/>
    <cellStyle name="パーセント 2 3" xfId="27" xr:uid="{00000000-0005-0000-0000-000032000000}"/>
    <cellStyle name="ハイパーリンク" xfId="3" builtinId="8"/>
    <cellStyle name="_x001d__x000c_K_x0014__x000d_&gt;V_x0001_&gt;_x0014_n_x001e__x0007__x0001__x0001_" xfId="28" xr:uid="{00000000-0005-0000-0000-000034000000}"/>
    <cellStyle name="一覧表書式_タイトル" xfId="29" xr:uid="{00000000-0005-0000-0000-000035000000}"/>
    <cellStyle name="下1赤" xfId="30" xr:uid="{00000000-0005-0000-0000-000036000000}"/>
    <cellStyle name="桁蟻唇Ｆ [0.00]_Sheet1" xfId="31" xr:uid="{00000000-0005-0000-0000-000037000000}"/>
    <cellStyle name="桁蟻唇Ｆ_Sheet1" xfId="32" xr:uid="{00000000-0005-0000-0000-000038000000}"/>
    <cellStyle name="桁区切り 2" xfId="33" xr:uid="{00000000-0005-0000-0000-000039000000}"/>
    <cellStyle name="桁区切り 2 2" xfId="34" xr:uid="{00000000-0005-0000-0000-00003A000000}"/>
    <cellStyle name="桁区切り 2 3" xfId="35" xr:uid="{00000000-0005-0000-0000-00003B000000}"/>
    <cellStyle name="桁区切り 3" xfId="36" xr:uid="{00000000-0005-0000-0000-00003C000000}"/>
    <cellStyle name="桁区切り 3 2" xfId="37" xr:uid="{00000000-0005-0000-0000-00003D000000}"/>
    <cellStyle name="桁区切り 3 3" xfId="38" xr:uid="{00000000-0005-0000-0000-00003E000000}"/>
    <cellStyle name="上詰め＋折返し" xfId="39" xr:uid="{00000000-0005-0000-0000-00003F000000}"/>
    <cellStyle name="上詰め＋折返し 2" xfId="123" xr:uid="{00000000-0005-0000-0000-000040000000}"/>
    <cellStyle name="上詰め＋折返し 2 2" xfId="170" xr:uid="{00000000-0005-0000-0000-000041000000}"/>
    <cellStyle name="上詰め＋折返し 3" xfId="124" xr:uid="{00000000-0005-0000-0000-000042000000}"/>
    <cellStyle name="上詰め＋折返し 3 2" xfId="171" xr:uid="{00000000-0005-0000-0000-000043000000}"/>
    <cellStyle name="上詰め＋折返し 4" xfId="159" xr:uid="{00000000-0005-0000-0000-000044000000}"/>
    <cellStyle name="赤%" xfId="40" xr:uid="{00000000-0005-0000-0000-000045000000}"/>
    <cellStyle name="脱浦 [0.00]_laroux" xfId="41" xr:uid="{00000000-0005-0000-0000-000046000000}"/>
    <cellStyle name="脱浦_laroux" xfId="42" xr:uid="{00000000-0005-0000-0000-000047000000}"/>
    <cellStyle name="点以下1" xfId="43" xr:uid="{00000000-0005-0000-0000-000048000000}"/>
    <cellStyle name="飯田モデル" xfId="44" xr:uid="{00000000-0005-0000-0000-000049000000}"/>
    <cellStyle name="標準" xfId="0" builtinId="0"/>
    <cellStyle name="標準 10" xfId="45" xr:uid="{00000000-0005-0000-0000-00004B000000}"/>
    <cellStyle name="標準 10 2" xfId="46" xr:uid="{00000000-0005-0000-0000-00004C000000}"/>
    <cellStyle name="標準 10 3" xfId="47" xr:uid="{00000000-0005-0000-0000-00004D000000}"/>
    <cellStyle name="標準 11" xfId="48" xr:uid="{00000000-0005-0000-0000-00004E000000}"/>
    <cellStyle name="標準 11 2" xfId="49" xr:uid="{00000000-0005-0000-0000-00004F000000}"/>
    <cellStyle name="標準 11 3" xfId="50" xr:uid="{00000000-0005-0000-0000-000050000000}"/>
    <cellStyle name="標準 12" xfId="51" xr:uid="{00000000-0005-0000-0000-000051000000}"/>
    <cellStyle name="標準 12 2" xfId="52" xr:uid="{00000000-0005-0000-0000-000052000000}"/>
    <cellStyle name="標準 12 3" xfId="53" xr:uid="{00000000-0005-0000-0000-000053000000}"/>
    <cellStyle name="標準 13" xfId="54" xr:uid="{00000000-0005-0000-0000-000054000000}"/>
    <cellStyle name="標準 13 2" xfId="55" xr:uid="{00000000-0005-0000-0000-000055000000}"/>
    <cellStyle name="標準 13 3" xfId="56" xr:uid="{00000000-0005-0000-0000-000056000000}"/>
    <cellStyle name="標準 14" xfId="57" xr:uid="{00000000-0005-0000-0000-000057000000}"/>
    <cellStyle name="標準 15" xfId="58" xr:uid="{00000000-0005-0000-0000-000058000000}"/>
    <cellStyle name="標準 16" xfId="59" xr:uid="{00000000-0005-0000-0000-000059000000}"/>
    <cellStyle name="標準 17" xfId="60" xr:uid="{00000000-0005-0000-0000-00005A000000}"/>
    <cellStyle name="標準 18" xfId="61" xr:uid="{00000000-0005-0000-0000-00005B000000}"/>
    <cellStyle name="標準 19" xfId="133" xr:uid="{00000000-0005-0000-0000-00005C000000}"/>
    <cellStyle name="標準 2" xfId="153" xr:uid="{00000000-0005-0000-0000-00005D000000}"/>
    <cellStyle name="標準 2 2" xfId="62" xr:uid="{00000000-0005-0000-0000-00005E000000}"/>
    <cellStyle name="標準 2 2 2" xfId="63" xr:uid="{00000000-0005-0000-0000-00005F000000}"/>
    <cellStyle name="標準 2 2 3" xfId="64" xr:uid="{00000000-0005-0000-0000-000060000000}"/>
    <cellStyle name="標準 2 3" xfId="65" xr:uid="{00000000-0005-0000-0000-000061000000}"/>
    <cellStyle name="標準 2 4" xfId="66" xr:uid="{00000000-0005-0000-0000-000062000000}"/>
    <cellStyle name="標準 2 5" xfId="67" xr:uid="{00000000-0005-0000-0000-000063000000}"/>
    <cellStyle name="標準 2 6" xfId="138" xr:uid="{00000000-0005-0000-0000-000064000000}"/>
    <cellStyle name="標準 20" xfId="152" xr:uid="{00000000-0005-0000-0000-000065000000}"/>
    <cellStyle name="標準 3" xfId="68" xr:uid="{00000000-0005-0000-0000-000066000000}"/>
    <cellStyle name="標準 3 2" xfId="69" xr:uid="{00000000-0005-0000-0000-000067000000}"/>
    <cellStyle name="標準 3 2 2" xfId="70" xr:uid="{00000000-0005-0000-0000-000068000000}"/>
    <cellStyle name="標準 3 2 2 2" xfId="147" xr:uid="{00000000-0005-0000-0000-000069000000}"/>
    <cellStyle name="標準 3 2 2 2 2" xfId="191" xr:uid="{00000000-0005-0000-0000-00006A000000}"/>
    <cellStyle name="標準 3 2 2 3" xfId="160" xr:uid="{00000000-0005-0000-0000-00006B000000}"/>
    <cellStyle name="標準 3 2 3" xfId="71" xr:uid="{00000000-0005-0000-0000-00006C000000}"/>
    <cellStyle name="標準 3 3" xfId="72" xr:uid="{00000000-0005-0000-0000-00006D000000}"/>
    <cellStyle name="標準 3 4" xfId="73" xr:uid="{00000000-0005-0000-0000-00006E000000}"/>
    <cellStyle name="標準 3_(工事中)【設備購買】データ構造仕様書Ver0.001" xfId="74" xr:uid="{00000000-0005-0000-0000-00006F000000}"/>
    <cellStyle name="標準 4" xfId="4" xr:uid="{00000000-0005-0000-0000-000070000000}"/>
    <cellStyle name="標準 4 2" xfId="75" xr:uid="{00000000-0005-0000-0000-000071000000}"/>
    <cellStyle name="標準 4 2 2" xfId="76" xr:uid="{00000000-0005-0000-0000-000072000000}"/>
    <cellStyle name="標準 4 2 3" xfId="77" xr:uid="{00000000-0005-0000-0000-000073000000}"/>
    <cellStyle name="標準 4 3" xfId="78" xr:uid="{00000000-0005-0000-0000-000074000000}"/>
    <cellStyle name="標準 4 4" xfId="79" xr:uid="{00000000-0005-0000-0000-000075000000}"/>
    <cellStyle name="標準 4 5" xfId="134" xr:uid="{00000000-0005-0000-0000-000076000000}"/>
    <cellStyle name="標準 4 5 2" xfId="148" xr:uid="{00000000-0005-0000-0000-000077000000}"/>
    <cellStyle name="標準 4 5 2 2" xfId="192" xr:uid="{00000000-0005-0000-0000-000078000000}"/>
    <cellStyle name="標準 4 5 3" xfId="179" xr:uid="{00000000-0005-0000-0000-000079000000}"/>
    <cellStyle name="標準 4 6" xfId="139" xr:uid="{00000000-0005-0000-0000-00007A000000}"/>
    <cellStyle name="標準 4 6 2" xfId="183" xr:uid="{00000000-0005-0000-0000-00007B000000}"/>
    <cellStyle name="標準 4 7" xfId="154" xr:uid="{00000000-0005-0000-0000-00007C000000}"/>
    <cellStyle name="標準 4_【設備購買】連絡票一覧（稼働後）" xfId="80" xr:uid="{00000000-0005-0000-0000-00007D000000}"/>
    <cellStyle name="標準 5" xfId="5" xr:uid="{00000000-0005-0000-0000-00007E000000}"/>
    <cellStyle name="標準 5 2" xfId="81" xr:uid="{00000000-0005-0000-0000-00007F000000}"/>
    <cellStyle name="標準 5 3" xfId="82" xr:uid="{00000000-0005-0000-0000-000080000000}"/>
    <cellStyle name="標準 5 4" xfId="135" xr:uid="{00000000-0005-0000-0000-000081000000}"/>
    <cellStyle name="標準 5 4 2" xfId="149" xr:uid="{00000000-0005-0000-0000-000082000000}"/>
    <cellStyle name="標準 5 4 2 2" xfId="193" xr:uid="{00000000-0005-0000-0000-000083000000}"/>
    <cellStyle name="標準 5 4 3" xfId="180" xr:uid="{00000000-0005-0000-0000-000084000000}"/>
    <cellStyle name="標準 5 5" xfId="140" xr:uid="{00000000-0005-0000-0000-000085000000}"/>
    <cellStyle name="標準 5 5 2" xfId="184" xr:uid="{00000000-0005-0000-0000-000086000000}"/>
    <cellStyle name="標準 5 6" xfId="155" xr:uid="{00000000-0005-0000-0000-000087000000}"/>
    <cellStyle name="標準 5_ヘッダー残イメージ" xfId="83" xr:uid="{00000000-0005-0000-0000-000088000000}"/>
    <cellStyle name="標準 6" xfId="6" xr:uid="{00000000-0005-0000-0000-000089000000}"/>
    <cellStyle name="標準 6 2" xfId="84" xr:uid="{00000000-0005-0000-0000-00008A000000}"/>
    <cellStyle name="標準 6 3" xfId="85" xr:uid="{00000000-0005-0000-0000-00008B000000}"/>
    <cellStyle name="標準 6 4" xfId="136" xr:uid="{00000000-0005-0000-0000-00008C000000}"/>
    <cellStyle name="標準 6 4 2" xfId="150" xr:uid="{00000000-0005-0000-0000-00008D000000}"/>
    <cellStyle name="標準 6 4 2 2" xfId="194" xr:uid="{00000000-0005-0000-0000-00008E000000}"/>
    <cellStyle name="標準 6 4 3" xfId="181" xr:uid="{00000000-0005-0000-0000-00008F000000}"/>
    <cellStyle name="標準 6 5" xfId="141" xr:uid="{00000000-0005-0000-0000-000090000000}"/>
    <cellStyle name="標準 6 5 2" xfId="185" xr:uid="{00000000-0005-0000-0000-000091000000}"/>
    <cellStyle name="標準 6 6" xfId="156" xr:uid="{00000000-0005-0000-0000-000092000000}"/>
    <cellStyle name="標準 7" xfId="86" xr:uid="{00000000-0005-0000-0000-000093000000}"/>
    <cellStyle name="標準 7 2" xfId="87" xr:uid="{00000000-0005-0000-0000-000094000000}"/>
    <cellStyle name="標準 7 3" xfId="88" xr:uid="{00000000-0005-0000-0000-000095000000}"/>
    <cellStyle name="標準 8" xfId="7" xr:uid="{00000000-0005-0000-0000-000096000000}"/>
    <cellStyle name="標準 8 2" xfId="89" xr:uid="{00000000-0005-0000-0000-000097000000}"/>
    <cellStyle name="標準 8 3" xfId="90" xr:uid="{00000000-0005-0000-0000-000098000000}"/>
    <cellStyle name="標準 8 4" xfId="137" xr:uid="{00000000-0005-0000-0000-000099000000}"/>
    <cellStyle name="標準 8 4 2" xfId="151" xr:uid="{00000000-0005-0000-0000-00009A000000}"/>
    <cellStyle name="標準 8 4 2 2" xfId="195" xr:uid="{00000000-0005-0000-0000-00009B000000}"/>
    <cellStyle name="標準 8 4 3" xfId="182" xr:uid="{00000000-0005-0000-0000-00009C000000}"/>
    <cellStyle name="標準 8 5" xfId="142" xr:uid="{00000000-0005-0000-0000-00009D000000}"/>
    <cellStyle name="標準 8 5 2" xfId="186" xr:uid="{00000000-0005-0000-0000-00009E000000}"/>
    <cellStyle name="標準 8 6" xfId="157" xr:uid="{00000000-0005-0000-0000-00009F000000}"/>
    <cellStyle name="標準 9" xfId="91" xr:uid="{00000000-0005-0000-0000-0000A0000000}"/>
    <cellStyle name="標準 9 2" xfId="92" xr:uid="{00000000-0005-0000-0000-0000A1000000}"/>
    <cellStyle name="標準 9 3" xfId="93" xr:uid="{00000000-0005-0000-0000-0000A2000000}"/>
    <cellStyle name="未定義" xfId="94" xr:uid="{00000000-0005-0000-0000-0000A3000000}"/>
    <cellStyle name="㼿" xfId="95" xr:uid="{00000000-0005-0000-0000-0000A4000000}"/>
    <cellStyle name="㼿 2" xfId="125" xr:uid="{00000000-0005-0000-0000-0000A5000000}"/>
    <cellStyle name="㼿 3" xfId="122" xr:uid="{00000000-0005-0000-0000-0000A6000000}"/>
    <cellStyle name="㼿?" xfId="96" xr:uid="{00000000-0005-0000-0000-0000A7000000}"/>
    <cellStyle name="㼿_（営業秘密作成）プロジェクト状況報告書(週次)_v3" xfId="97" xr:uid="{00000000-0005-0000-0000-0000A8000000}"/>
    <cellStyle name="㼿_pmformat_reituki_1_091225" xfId="98" xr:uid="{00000000-0005-0000-0000-0000A9000000}"/>
    <cellStyle name="㼿_pmformat_reituki_1_091225 2" xfId="127" xr:uid="{00000000-0005-0000-0000-0000AA000000}"/>
    <cellStyle name="㼿_pmformat_reituki_1_091225 2 2" xfId="173" xr:uid="{00000000-0005-0000-0000-0000AB000000}"/>
    <cellStyle name="㼿_pmformat_reituki_1_091225 3" xfId="120" xr:uid="{00000000-0005-0000-0000-0000AC000000}"/>
    <cellStyle name="㼿_pmformat_reituki_1_091225 3 2" xfId="168" xr:uid="{00000000-0005-0000-0000-0000AD000000}"/>
    <cellStyle name="㼿_pmformat_reituki_1_091225 4" xfId="161" xr:uid="{00000000-0005-0000-0000-0000AE000000}"/>
    <cellStyle name="㼿_pmformat_reituki_1_100115" xfId="99" xr:uid="{00000000-0005-0000-0000-0000AF000000}"/>
    <cellStyle name="㼿_pmformat_reituki_1_100115 2" xfId="128" xr:uid="{00000000-0005-0000-0000-0000B0000000}"/>
    <cellStyle name="㼿_pmformat_reituki_1_100115 2 2" xfId="174" xr:uid="{00000000-0005-0000-0000-0000B1000000}"/>
    <cellStyle name="㼿_pmformat_reituki_1_100115 3" xfId="119" xr:uid="{00000000-0005-0000-0000-0000B2000000}"/>
    <cellStyle name="㼿_pmformat_reituki_1_100115 3 2" xfId="167" xr:uid="{00000000-0005-0000-0000-0000B3000000}"/>
    <cellStyle name="㼿_pmformat_reituki_1_100115 4" xfId="162" xr:uid="{00000000-0005-0000-0000-0000B4000000}"/>
    <cellStyle name="㼿㼿" xfId="100" xr:uid="{00000000-0005-0000-0000-0000B5000000}"/>
    <cellStyle name="㼿㼿?" xfId="101" xr:uid="{00000000-0005-0000-0000-0000B6000000}"/>
    <cellStyle name="㼿㼿_pmformat_reituki_1_091225" xfId="102" xr:uid="{00000000-0005-0000-0000-0000B7000000}"/>
    <cellStyle name="㼿㼿㼿" xfId="103" xr:uid="{00000000-0005-0000-0000-0000B8000000}"/>
    <cellStyle name="㼿㼿㼿?" xfId="104" xr:uid="{00000000-0005-0000-0000-0000B9000000}"/>
    <cellStyle name="㼿㼿㼿㼿㼿㼿?" xfId="105" xr:uid="{00000000-0005-0000-0000-0000BA000000}"/>
    <cellStyle name="㼿㼿㼿㼿㼿㼿㼿㼿㼿㼿㼿㼿" xfId="106" xr:uid="{00000000-0005-0000-0000-0000BB000000}"/>
    <cellStyle name="㼿㼿㼿㼿㼿㼿㼿㼿㼿㼿㼿㼿?" xfId="107" xr:uid="{00000000-0005-0000-0000-0000BC000000}"/>
    <cellStyle name="㼿㼿㼿㼿㼿㼿㼿㼿㼿㼿㼿㼿㼿" xfId="108" xr:uid="{00000000-0005-0000-0000-0000BD000000}"/>
    <cellStyle name="㼿㼿㼿㼿㼿㼿㼿㼿㼿㼿㼿㼿㼿㼿㼿?" xfId="109" xr:uid="{00000000-0005-0000-0000-0000BE000000}"/>
    <cellStyle name="㼿㼿㼿㼿㼿㼿㼿㼿㼿㼿㼿㼿㼿㼿㼿㼿㼿㼿㼿㼿㼿㼿㼿?" xfId="110" xr:uid="{00000000-0005-0000-0000-0000BF000000}"/>
    <cellStyle name="㼿㼿㼿㼿㼿㼿㼿㼿㼿㼿㼿㼿㼿㼿㼿㼿㼿㼿㼿㼿㼿㼿㼿㼿" xfId="111" xr:uid="{00000000-0005-0000-0000-0000C0000000}"/>
    <cellStyle name="㼿㼿㼿㼿㼿㼿㼿㼿㼿㼿㼿㼿㼿㼿㼿㼿㼿㼿㼿㼿㼿㼿㼿㼿?" xfId="112" xr:uid="{00000000-0005-0000-0000-0000C1000000}"/>
    <cellStyle name="㼿㼿㼿㼿㼿㼿㼿㼿㼿㼿㼿㼿㼿㼿㼿㼿㼿㼿㼿㼿㼿㼿㼿㼿㼿㼿" xfId="113" xr:uid="{00000000-0005-0000-0000-0000C2000000}"/>
    <cellStyle name="㼿㼿㼿㼿㼿㼿㼿㼿㼿㼿㼿㼿㼿㼿㼿㼿㼿㼿㼿㼿㼿㼿㼿㼿㼿㼿㼿㼿㼿㼿㼿㼿㼿?" xfId="114" xr:uid="{00000000-0005-0000-0000-0000C3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color rgb="FF0000FF"/>
      <color rgb="FF00FF00"/>
      <color rgb="FFCCFFFF"/>
      <color rgb="FFFFC1C1"/>
      <color rgb="FF00CC00"/>
      <color rgb="FFCC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301487</xdr:colOff>
      <xdr:row>4</xdr:row>
      <xdr:rowOff>0</xdr:rowOff>
    </xdr:to>
    <xdr:sp macro="" textlink="制御!B1">
      <xdr:nvSpPr>
        <xdr:cNvPr id="2" name="正方形/長方形 1">
          <a:extLst>
            <a:ext uri="{FF2B5EF4-FFF2-40B4-BE49-F238E27FC236}">
              <a16:creationId xmlns:a16="http://schemas.microsoft.com/office/drawing/2014/main" id="{01CCE60D-5C38-4345-9D6C-7A201A9176B6}"/>
            </a:ext>
          </a:extLst>
        </xdr:cNvPr>
        <xdr:cNvSpPr/>
      </xdr:nvSpPr>
      <xdr:spPr>
        <a:xfrm>
          <a:off x="57150" y="38100"/>
          <a:ext cx="1863587" cy="542925"/>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DAC9CE0A-F52A-4988-9ECB-6036C39612E3}" type="TxLink">
            <a:rPr kumimoji="1" lang="en-US" altLang="en-US" sz="1400" b="1" i="0" u="none" strike="noStrike">
              <a:solidFill>
                <a:srgbClr val="000000"/>
              </a:solidFill>
              <a:latin typeface="ＭＳ ゴシック" pitchFamily="49" charset="-128"/>
              <a:ea typeface="ＭＳ ゴシック" pitchFamily="49" charset="-128"/>
            </a:rPr>
            <a:pPr algn="ctr"/>
            <a:t>eTeam</a:t>
          </a:fld>
          <a:endParaRPr kumimoji="1" lang="ja-JP" altLang="en-US" sz="1400" b="1">
            <a:latin typeface="ＭＳ ゴシック" pitchFamily="49" charset="-128"/>
            <a:ea typeface="ＭＳ ゴシック" pitchFamily="49" charset="-128"/>
          </a:endParaRPr>
        </a:p>
      </xdr:txBody>
    </xdr:sp>
    <xdr:clientData/>
  </xdr:twoCellAnchor>
  <xdr:twoCellAnchor editAs="absolute">
    <xdr:from>
      <xdr:col>3</xdr:col>
      <xdr:colOff>301486</xdr:colOff>
      <xdr:row>1</xdr:row>
      <xdr:rowOff>0</xdr:rowOff>
    </xdr:from>
    <xdr:to>
      <xdr:col>5</xdr:col>
      <xdr:colOff>1479826</xdr:colOff>
      <xdr:row>4</xdr:row>
      <xdr:rowOff>0</xdr:rowOff>
    </xdr:to>
    <xdr:sp macro="" textlink="制御!B2">
      <xdr:nvSpPr>
        <xdr:cNvPr id="3" name="正方形/長方形 2">
          <a:extLst>
            <a:ext uri="{FF2B5EF4-FFF2-40B4-BE49-F238E27FC236}">
              <a16:creationId xmlns:a16="http://schemas.microsoft.com/office/drawing/2014/main" id="{4C4E9C59-FC7D-486E-8831-6BF04AC2D9CE}"/>
            </a:ext>
          </a:extLst>
        </xdr:cNvPr>
        <xdr:cNvSpPr/>
      </xdr:nvSpPr>
      <xdr:spPr>
        <a:xfrm>
          <a:off x="1920736" y="38100"/>
          <a:ext cx="3343690" cy="542925"/>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fld id="{1D934E88-FACB-400A-86C2-26AB2947753D}" type="TxLink">
            <a:rPr kumimoji="1" lang="ja-JP" altLang="en-US" sz="1400" b="1" i="0" u="none" strike="noStrike">
              <a:solidFill>
                <a:srgbClr val="000000"/>
              </a:solidFill>
              <a:latin typeface="ＭＳ ゴシックク"/>
              <a:ea typeface="ＭＳ ゴシック" pitchFamily="49" charset="-128"/>
            </a:rPr>
            <a:pPr algn="l"/>
            <a:t>設定情報定義書</a:t>
          </a:fld>
          <a:endParaRPr kumimoji="1" lang="en-US" altLang="ja-JP" sz="1400" b="1" i="0" u="none" strike="noStrike">
            <a:solidFill>
              <a:srgbClr val="000000"/>
            </a:solidFill>
            <a:latin typeface="ＭＳ ゴシック" pitchFamily="49" charset="-128"/>
            <a:ea typeface="ＭＳ ゴシック" pitchFamily="49" charset="-128"/>
          </a:endParaRPr>
        </a:p>
      </xdr:txBody>
    </xdr:sp>
    <xdr:clientData/>
  </xdr:twoCellAnchor>
  <xdr:twoCellAnchor editAs="absolute">
    <xdr:from>
      <xdr:col>5</xdr:col>
      <xdr:colOff>1479827</xdr:colOff>
      <xdr:row>1</xdr:row>
      <xdr:rowOff>0</xdr:rowOff>
    </xdr:from>
    <xdr:to>
      <xdr:col>8</xdr:col>
      <xdr:colOff>1536976</xdr:colOff>
      <xdr:row>4</xdr:row>
      <xdr:rowOff>0</xdr:rowOff>
    </xdr:to>
    <xdr:sp macro="" textlink="制御!B2">
      <xdr:nvSpPr>
        <xdr:cNvPr id="4" name="正方形/長方形 3">
          <a:extLst>
            <a:ext uri="{FF2B5EF4-FFF2-40B4-BE49-F238E27FC236}">
              <a16:creationId xmlns:a16="http://schemas.microsoft.com/office/drawing/2014/main" id="{AC904BC0-E17B-4EEB-A9F6-6F52814063A2}"/>
            </a:ext>
          </a:extLst>
        </xdr:cNvPr>
        <xdr:cNvSpPr/>
      </xdr:nvSpPr>
      <xdr:spPr>
        <a:xfrm>
          <a:off x="5264427" y="38100"/>
          <a:ext cx="5200649" cy="542925"/>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fld id="{8FCC8F28-02FE-47C6-A62C-F5C00FAE126A}" type="TxLink">
            <a:rPr kumimoji="1" lang="ja-JP" altLang="en-US" sz="1400" b="1" i="0" u="none" strike="noStrike">
              <a:solidFill>
                <a:srgbClr val="000000"/>
              </a:solidFill>
              <a:latin typeface="ＭＳ ゴシックク"/>
              <a:ea typeface="ＭＳ ゴシック" pitchFamily="49" charset="-128"/>
            </a:rPr>
            <a:pPr algn="l"/>
            <a:t>設定情報定義書</a:t>
          </a:fld>
          <a:endParaRPr kumimoji="1" lang="ja-JP" altLang="en-US" sz="1400" b="1" i="0" u="sng" strike="noStrike">
            <a:solidFill>
              <a:srgbClr val="000000"/>
            </a:solidFill>
            <a:latin typeface="ＭＳ ゴシック" pitchFamily="49" charset="-128"/>
            <a:ea typeface="ＭＳ ゴシック" pitchFamily="49" charset="-128"/>
          </a:endParaRPr>
        </a:p>
      </xdr:txBody>
    </xdr:sp>
    <xdr:clientData/>
  </xdr:twoCellAnchor>
  <xdr:twoCellAnchor>
    <xdr:from>
      <xdr:col>9</xdr:col>
      <xdr:colOff>115957</xdr:colOff>
      <xdr:row>2</xdr:row>
      <xdr:rowOff>8283</xdr:rowOff>
    </xdr:from>
    <xdr:to>
      <xdr:col>9</xdr:col>
      <xdr:colOff>1424609</xdr:colOff>
      <xdr:row>3</xdr:row>
      <xdr:rowOff>157369</xdr:rowOff>
    </xdr:to>
    <xdr:sp macro="[0]!MakeIcspCsv" textlink="">
      <xdr:nvSpPr>
        <xdr:cNvPr id="5" name="角丸四角形 4">
          <a:extLst>
            <a:ext uri="{FF2B5EF4-FFF2-40B4-BE49-F238E27FC236}">
              <a16:creationId xmlns:a16="http://schemas.microsoft.com/office/drawing/2014/main" id="{EA5EC7B9-D366-43BA-8A3D-BD90ACA142A5}"/>
            </a:ext>
          </a:extLst>
        </xdr:cNvPr>
        <xdr:cNvSpPr/>
      </xdr:nvSpPr>
      <xdr:spPr bwMode="auto">
        <a:xfrm>
          <a:off x="10764907" y="227358"/>
          <a:ext cx="1308652" cy="330061"/>
        </a:xfrm>
        <a:prstGeom prst="roundRect">
          <a:avLst/>
        </a:prstGeom>
        <a:ln>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wrap="square" lIns="18288" tIns="0" rIns="0" bIns="0" rtlCol="0" anchor="ctr" upright="1"/>
        <a:lstStyle/>
        <a:p>
          <a:pPr algn="ctr"/>
          <a:r>
            <a:rPr kumimoji="1" lang="ja-JP" altLang="en-US" sz="1100"/>
            <a:t>設定情報作成</a:t>
          </a:r>
        </a:p>
      </xdr:txBody>
    </xdr:sp>
    <xdr:clientData/>
  </xdr:twoCellAnchor>
  <xdr:twoCellAnchor>
    <xdr:from>
      <xdr:col>9</xdr:col>
      <xdr:colOff>1681369</xdr:colOff>
      <xdr:row>1</xdr:row>
      <xdr:rowOff>0</xdr:rowOff>
    </xdr:from>
    <xdr:to>
      <xdr:col>11</xdr:col>
      <xdr:colOff>3594652</xdr:colOff>
      <xdr:row>4</xdr:row>
      <xdr:rowOff>57978</xdr:rowOff>
    </xdr:to>
    <xdr:sp macro="" textlink="">
      <xdr:nvSpPr>
        <xdr:cNvPr id="6" name="正方形/長方形 5">
          <a:extLst>
            <a:ext uri="{FF2B5EF4-FFF2-40B4-BE49-F238E27FC236}">
              <a16:creationId xmlns:a16="http://schemas.microsoft.com/office/drawing/2014/main" id="{739F219D-AA8C-484C-95D5-D0578FC7CC5D}"/>
            </a:ext>
          </a:extLst>
        </xdr:cNvPr>
        <xdr:cNvSpPr/>
      </xdr:nvSpPr>
      <xdr:spPr bwMode="auto">
        <a:xfrm>
          <a:off x="12330319" y="38100"/>
          <a:ext cx="5342283" cy="600903"/>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kumimoji="1" lang="ja-JP" altLang="en-US" sz="1100"/>
            <a:t>説明欄のカッコは全角、ほかは半角で記載する。</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0</xdr:colOff>
      <xdr:row>4</xdr:row>
      <xdr:rowOff>0</xdr:rowOff>
    </xdr:to>
    <xdr:sp macro="" textlink="制御!B1">
      <xdr:nvSpPr>
        <xdr:cNvPr id="2" name="正方形/長方形 1">
          <a:extLst>
            <a:ext uri="{FF2B5EF4-FFF2-40B4-BE49-F238E27FC236}">
              <a16:creationId xmlns:a16="http://schemas.microsoft.com/office/drawing/2014/main" id="{00000000-0008-0000-0000-000002000000}"/>
            </a:ext>
          </a:extLst>
        </xdr:cNvPr>
        <xdr:cNvSpPr/>
      </xdr:nvSpPr>
      <xdr:spPr>
        <a:xfrm>
          <a:off x="57150" y="38100"/>
          <a:ext cx="1857375" cy="542925"/>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DAC9CE0A-F52A-4988-9ECB-6036C39612E3}" type="TxLink">
            <a:rPr kumimoji="1" lang="en-US" altLang="en-US" sz="1400" b="1" i="0" u="none" strike="noStrike">
              <a:solidFill>
                <a:srgbClr val="000000"/>
              </a:solidFill>
              <a:latin typeface="ＭＳ ゴシック" pitchFamily="49" charset="-128"/>
              <a:ea typeface="ＭＳ ゴシック" pitchFamily="49" charset="-128"/>
            </a:rPr>
            <a:pPr algn="ctr"/>
            <a:t>eTeam</a:t>
          </a:fld>
          <a:endParaRPr kumimoji="1" lang="ja-JP" altLang="en-US" sz="1400" b="1">
            <a:latin typeface="ＭＳ ゴシック" pitchFamily="49" charset="-128"/>
            <a:ea typeface="ＭＳ ゴシック" pitchFamily="49" charset="-128"/>
          </a:endParaRPr>
        </a:p>
      </xdr:txBody>
    </xdr:sp>
    <xdr:clientData/>
  </xdr:twoCellAnchor>
  <xdr:twoCellAnchor editAs="absolute">
    <xdr:from>
      <xdr:col>15</xdr:col>
      <xdr:colOff>123824</xdr:colOff>
      <xdr:row>1</xdr:row>
      <xdr:rowOff>0</xdr:rowOff>
    </xdr:from>
    <xdr:to>
      <xdr:col>43</xdr:col>
      <xdr:colOff>0</xdr:colOff>
      <xdr:row>4</xdr:row>
      <xdr:rowOff>0</xdr:rowOff>
    </xdr:to>
    <xdr:sp macro="" textlink="制御!B2">
      <xdr:nvSpPr>
        <xdr:cNvPr id="3" name="正方形/長方形 2">
          <a:extLst>
            <a:ext uri="{FF2B5EF4-FFF2-40B4-BE49-F238E27FC236}">
              <a16:creationId xmlns:a16="http://schemas.microsoft.com/office/drawing/2014/main" id="{00000000-0008-0000-0000-000003000000}"/>
            </a:ext>
          </a:extLst>
        </xdr:cNvPr>
        <xdr:cNvSpPr/>
      </xdr:nvSpPr>
      <xdr:spPr>
        <a:xfrm>
          <a:off x="1914524" y="38100"/>
          <a:ext cx="3343276" cy="542925"/>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fld id="{1D934E88-FACB-400A-86C2-26AB2947753D}" type="TxLink">
            <a:rPr kumimoji="1" lang="ja-JP" altLang="en-US" sz="1400" b="1" i="0" u="none" strike="noStrike">
              <a:solidFill>
                <a:srgbClr val="000000"/>
              </a:solidFill>
              <a:latin typeface="ＭＳ ゴシックク"/>
              <a:ea typeface="ＭＳ ゴシック" pitchFamily="49" charset="-128"/>
            </a:rPr>
            <a:pPr algn="l"/>
            <a:t>設定情報定義書</a:t>
          </a:fld>
          <a:endParaRPr kumimoji="1" lang="en-US" altLang="ja-JP" sz="1400" b="1" i="0" u="none" strike="noStrike">
            <a:solidFill>
              <a:srgbClr val="000000"/>
            </a:solidFill>
            <a:latin typeface="ＭＳ ゴシック" pitchFamily="49" charset="-128"/>
            <a:ea typeface="ＭＳ ゴシック" pitchFamily="49" charset="-128"/>
          </a:endParaRPr>
        </a:p>
      </xdr:txBody>
    </xdr:sp>
    <xdr:clientData/>
  </xdr:twoCellAnchor>
  <xdr:twoCellAnchor editAs="absolute">
    <xdr:from>
      <xdr:col>43</xdr:col>
      <xdr:colOff>1</xdr:colOff>
      <xdr:row>1</xdr:row>
      <xdr:rowOff>0</xdr:rowOff>
    </xdr:from>
    <xdr:to>
      <xdr:col>85</xdr:col>
      <xdr:colOff>0</xdr:colOff>
      <xdr:row>4</xdr:row>
      <xdr:rowOff>0</xdr:rowOff>
    </xdr:to>
    <xdr:sp macro="" textlink="制御!B2">
      <xdr:nvSpPr>
        <xdr:cNvPr id="4" name="正方形/長方形 3">
          <a:extLst>
            <a:ext uri="{FF2B5EF4-FFF2-40B4-BE49-F238E27FC236}">
              <a16:creationId xmlns:a16="http://schemas.microsoft.com/office/drawing/2014/main" id="{00000000-0008-0000-0000-000004000000}"/>
            </a:ext>
          </a:extLst>
        </xdr:cNvPr>
        <xdr:cNvSpPr/>
      </xdr:nvSpPr>
      <xdr:spPr>
        <a:xfrm>
          <a:off x="5257801" y="38100"/>
          <a:ext cx="5200649" cy="542925"/>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fld id="{9DD338FB-07F6-4C80-B192-300A4D704900}" type="TxLink">
            <a:rPr kumimoji="1" lang="ja-JP" altLang="en-US" sz="1400" b="1" i="0" u="none" strike="noStrike">
              <a:solidFill>
                <a:srgbClr val="000000"/>
              </a:solidFill>
              <a:latin typeface="ＭＳ ゴシックク"/>
              <a:ea typeface="ＭＳ ゴシック" pitchFamily="49" charset="-128"/>
            </a:rPr>
            <a:pPr algn="l"/>
            <a:t>設定情報定義書</a:t>
          </a:fld>
          <a:endParaRPr kumimoji="1" lang="ja-JP" altLang="en-US" sz="1400" b="1" i="0" u="sng" strike="noStrike">
            <a:solidFill>
              <a:srgbClr val="000000"/>
            </a:solidFill>
            <a:latin typeface="ＭＳ ゴシック" pitchFamily="49" charset="-128"/>
            <a:ea typeface="ＭＳ ゴシック" pitchFamily="49"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ln>
          <a:headEnd type="none" w="med" len="med"/>
          <a:tailEnd type="none" w="med" len="med"/>
        </a:ln>
      </a:spPr>
      <a:bodyPr vertOverflow="clip" wrap="square" lIns="18288" tIns="0" rIns="0" bIns="0" rtlCol="0" anchor="ctr" upright="1"/>
      <a:lstStyle>
        <a:defPPr algn="ctr">
          <a:defRPr kumimoji="1" sz="1100"/>
        </a:defPPr>
      </a:lstStyle>
      <a:style>
        <a:lnRef idx="1">
          <a:schemeClr val="accent1"/>
        </a:lnRef>
        <a:fillRef idx="2">
          <a:schemeClr val="accent1"/>
        </a:fillRef>
        <a:effectRef idx="1">
          <a:schemeClr val="accent1"/>
        </a:effectRef>
        <a:fontRef idx="minor">
          <a:schemeClr val="dk1"/>
        </a:fontRef>
      </a: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localhost/eteam/main/appl/" TargetMode="External"/><Relationship Id="rId1" Type="http://schemas.openxmlformats.org/officeDocument/2006/relationships/hyperlink" Target="http://localhost/expwww2/expcgi.exe"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java-regex-tester.appspot.com/" TargetMode="External"/><Relationship Id="rId1" Type="http://schemas.openxmlformats.org/officeDocument/2006/relationships/hyperlink" Target="http://d.hatena.ne.jp/tomorrowkey/20120201/1328107395" TargetMode="Externa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N342"/>
  <sheetViews>
    <sheetView showGridLines="0" tabSelected="1" view="pageBreakPreview" zoomScaleSheetLayoutView="100" workbookViewId="0">
      <pane ySplit="6" topLeftCell="A84" activePane="bottomLeft" state="frozen"/>
      <selection pane="bottomLeft" activeCell="E90" sqref="E90"/>
    </sheetView>
  </sheetViews>
  <sheetFormatPr defaultColWidth="9" defaultRowHeight="11.25"/>
  <cols>
    <col min="1" max="1" width="0.75" style="15" customWidth="1"/>
    <col min="2" max="2" width="16.125" style="15" customWidth="1"/>
    <col min="3" max="4" width="4.5" style="15" customWidth="1"/>
    <col min="5" max="5" width="23.875" style="15" customWidth="1"/>
    <col min="6" max="11" width="22.5" style="16" customWidth="1"/>
    <col min="12" max="12" width="47.25" style="16" customWidth="1"/>
    <col min="13" max="13" width="47.125" style="15" bestFit="1" customWidth="1"/>
    <col min="14" max="14" width="40.25" style="15" bestFit="1" customWidth="1"/>
    <col min="15" max="16384" width="9" style="15"/>
  </cols>
  <sheetData>
    <row r="1" spans="2:14" ht="3" customHeight="1">
      <c r="B1" s="2"/>
      <c r="C1" s="2"/>
      <c r="D1" s="2"/>
      <c r="E1" s="2"/>
      <c r="F1" s="20"/>
      <c r="G1" s="20"/>
      <c r="H1" s="20"/>
      <c r="I1" s="20"/>
      <c r="J1" s="20"/>
      <c r="K1" s="20"/>
      <c r="L1" s="20" t="s">
        <v>0</v>
      </c>
      <c r="M1" s="2"/>
      <c r="N1" s="2"/>
    </row>
    <row r="2" spans="2:14" ht="14.25" customHeight="1">
      <c r="B2" s="2"/>
      <c r="C2" s="2"/>
      <c r="D2" s="2"/>
      <c r="E2" s="2"/>
      <c r="F2" s="20"/>
      <c r="G2" s="20"/>
      <c r="H2" s="20"/>
      <c r="I2" s="20"/>
      <c r="J2" s="20"/>
      <c r="K2" s="20"/>
      <c r="L2" s="20"/>
      <c r="M2" s="2"/>
      <c r="N2" s="2"/>
    </row>
    <row r="3" spans="2:14" ht="14.25" customHeight="1">
      <c r="B3" s="2"/>
      <c r="C3" s="2"/>
      <c r="D3" s="2"/>
      <c r="E3" s="2"/>
      <c r="F3" s="20"/>
      <c r="G3" s="20"/>
      <c r="H3" s="20"/>
      <c r="I3" s="20"/>
      <c r="J3" s="20"/>
      <c r="K3" s="20"/>
      <c r="L3" s="20"/>
      <c r="M3" s="2"/>
      <c r="N3" s="2"/>
    </row>
    <row r="4" spans="2:14" ht="14.25" customHeight="1">
      <c r="B4" s="2"/>
      <c r="C4" s="2"/>
      <c r="D4" s="2"/>
      <c r="E4" s="2"/>
      <c r="F4" s="20"/>
      <c r="G4" s="20"/>
      <c r="H4" s="20"/>
      <c r="I4" s="20"/>
      <c r="J4" s="20"/>
      <c r="K4" s="20"/>
      <c r="L4" s="20"/>
      <c r="M4" s="2"/>
      <c r="N4" s="2"/>
    </row>
    <row r="5" spans="2:14">
      <c r="B5" s="17" t="s">
        <v>1</v>
      </c>
      <c r="C5" s="2"/>
      <c r="D5" s="2"/>
      <c r="E5" s="2"/>
      <c r="F5" s="20"/>
      <c r="G5" s="20"/>
      <c r="H5" s="20"/>
      <c r="I5" s="20"/>
      <c r="J5" s="20"/>
      <c r="K5" s="20"/>
      <c r="L5" s="20"/>
      <c r="M5" s="2"/>
      <c r="N5" s="2"/>
    </row>
    <row r="6" spans="2:14" ht="22.5" customHeight="1">
      <c r="B6" s="62" t="s">
        <v>2</v>
      </c>
      <c r="C6" s="63" t="s">
        <v>3</v>
      </c>
      <c r="D6" s="63" t="s">
        <v>4</v>
      </c>
      <c r="E6" s="58" t="s">
        <v>5</v>
      </c>
      <c r="F6" s="64" t="s">
        <v>6</v>
      </c>
      <c r="G6" s="64" t="s">
        <v>7</v>
      </c>
      <c r="H6" s="64" t="s">
        <v>8</v>
      </c>
      <c r="I6" s="64" t="s">
        <v>9</v>
      </c>
      <c r="J6" s="64" t="s">
        <v>10</v>
      </c>
      <c r="K6" s="62" t="s">
        <v>11</v>
      </c>
      <c r="L6" s="65" t="s">
        <v>12</v>
      </c>
      <c r="M6" s="59" t="s">
        <v>13</v>
      </c>
      <c r="N6" s="35" t="s">
        <v>14</v>
      </c>
    </row>
    <row r="7" spans="2:14" ht="22.5">
      <c r="B7" s="28" t="s">
        <v>15</v>
      </c>
      <c r="C7" s="37" t="s">
        <v>16</v>
      </c>
      <c r="D7" s="37" t="s">
        <v>16</v>
      </c>
      <c r="E7" s="24" t="s">
        <v>17</v>
      </c>
      <c r="F7" s="22" t="s">
        <v>18</v>
      </c>
      <c r="G7" s="18" t="s">
        <v>19</v>
      </c>
      <c r="H7" s="22" t="s">
        <v>20</v>
      </c>
      <c r="I7" s="22" t="s">
        <v>21</v>
      </c>
      <c r="J7" s="19"/>
      <c r="K7" s="23" t="s">
        <v>22</v>
      </c>
      <c r="L7" s="23" t="s">
        <v>23</v>
      </c>
      <c r="M7" s="48"/>
      <c r="N7" s="35" t="str">
        <f>LOWER(LEFT(K7,1))&amp;MID(SUBSTITUTE(PROPER(K7),"_",""),2,LEN(K7))</f>
        <v>shotodokeUrl</v>
      </c>
    </row>
    <row r="8" spans="2:14">
      <c r="B8" s="31"/>
      <c r="C8" s="37" t="s">
        <v>16</v>
      </c>
      <c r="D8" s="37" t="s">
        <v>16</v>
      </c>
      <c r="E8" s="24" t="s">
        <v>24</v>
      </c>
      <c r="F8" s="22" t="s">
        <v>25</v>
      </c>
      <c r="G8" s="22" t="s">
        <v>26</v>
      </c>
      <c r="H8" s="22" t="s">
        <v>21</v>
      </c>
      <c r="I8" s="22" t="s">
        <v>21</v>
      </c>
      <c r="J8" s="22"/>
      <c r="K8" s="23" t="s">
        <v>27</v>
      </c>
      <c r="L8" s="23" t="s">
        <v>28</v>
      </c>
      <c r="M8" s="48"/>
      <c r="N8" s="35" t="str">
        <f t="shared" ref="N8:N81" si="0">LOWER(LEFT(K8,1))&amp;MID(SUBSTITUTE(PROPER(K8),"_",""),2,LEN(K8))</f>
        <v>mailTsuuchiSystemName</v>
      </c>
    </row>
    <row r="9" spans="2:14" ht="22.5">
      <c r="B9" s="28" t="s">
        <v>29</v>
      </c>
      <c r="C9" s="37" t="s">
        <v>16</v>
      </c>
      <c r="D9" s="37" t="s">
        <v>16</v>
      </c>
      <c r="E9" s="24" t="s">
        <v>30</v>
      </c>
      <c r="F9" s="22" t="s">
        <v>31</v>
      </c>
      <c r="G9" s="22" t="s">
        <v>32</v>
      </c>
      <c r="H9" s="22" t="s">
        <v>21</v>
      </c>
      <c r="I9" s="22" t="s">
        <v>21</v>
      </c>
      <c r="J9" s="22" t="s">
        <v>33</v>
      </c>
      <c r="K9" s="23" t="s">
        <v>34</v>
      </c>
      <c r="L9" s="23" t="s">
        <v>35</v>
      </c>
      <c r="M9" s="48"/>
      <c r="N9" s="35" t="str">
        <f t="shared" si="0"/>
        <v>passLenMin</v>
      </c>
    </row>
    <row r="10" spans="2:14" ht="22.5">
      <c r="B10" s="21"/>
      <c r="C10" s="37" t="s">
        <v>16</v>
      </c>
      <c r="D10" s="37" t="s">
        <v>16</v>
      </c>
      <c r="E10" s="24" t="s">
        <v>36</v>
      </c>
      <c r="F10" s="22" t="s">
        <v>37</v>
      </c>
      <c r="G10" s="22" t="s">
        <v>38</v>
      </c>
      <c r="H10" s="22" t="s">
        <v>21</v>
      </c>
      <c r="I10" s="22" t="s">
        <v>21</v>
      </c>
      <c r="J10" s="22" t="s">
        <v>39</v>
      </c>
      <c r="K10" s="23" t="s">
        <v>40</v>
      </c>
      <c r="L10" s="23" t="s">
        <v>41</v>
      </c>
      <c r="M10" s="48"/>
      <c r="N10" s="35" t="str">
        <f t="shared" si="0"/>
        <v>passKindMin</v>
      </c>
    </row>
    <row r="11" spans="2:14" ht="22.5">
      <c r="B11" s="21"/>
      <c r="C11" s="37" t="s">
        <v>16</v>
      </c>
      <c r="D11" s="37" t="s">
        <v>16</v>
      </c>
      <c r="E11" s="24" t="s">
        <v>42</v>
      </c>
      <c r="F11" s="22" t="s">
        <v>43</v>
      </c>
      <c r="G11" s="22" t="s">
        <v>44</v>
      </c>
      <c r="H11" s="22" t="s">
        <v>21</v>
      </c>
      <c r="I11" s="22" t="s">
        <v>21</v>
      </c>
      <c r="J11" s="22" t="s">
        <v>45</v>
      </c>
      <c r="K11" s="23" t="s">
        <v>46</v>
      </c>
      <c r="L11" s="23" t="s">
        <v>47</v>
      </c>
      <c r="M11" s="48"/>
      <c r="N11" s="35" t="str">
        <f t="shared" si="0"/>
        <v>passValidTerm</v>
      </c>
    </row>
    <row r="12" spans="2:14" ht="33.75">
      <c r="B12" s="21"/>
      <c r="C12" s="37" t="s">
        <v>16</v>
      </c>
      <c r="D12" s="37" t="s">
        <v>16</v>
      </c>
      <c r="E12" s="24" t="s">
        <v>48</v>
      </c>
      <c r="F12" s="22" t="s">
        <v>49</v>
      </c>
      <c r="G12" s="22" t="s">
        <v>44</v>
      </c>
      <c r="H12" s="22" t="s">
        <v>21</v>
      </c>
      <c r="I12" s="22" t="s">
        <v>21</v>
      </c>
      <c r="J12" s="22" t="s">
        <v>45</v>
      </c>
      <c r="K12" s="23" t="s">
        <v>50</v>
      </c>
      <c r="L12" s="23" t="s">
        <v>51</v>
      </c>
      <c r="M12" s="48"/>
      <c r="N12" s="35" t="str">
        <f t="shared" si="0"/>
        <v>passLockNum</v>
      </c>
    </row>
    <row r="13" spans="2:14" ht="22.5">
      <c r="B13" s="21"/>
      <c r="C13" s="37" t="s">
        <v>16</v>
      </c>
      <c r="D13" s="37" t="s">
        <v>16</v>
      </c>
      <c r="E13" s="24" t="s">
        <v>52</v>
      </c>
      <c r="F13" s="22" t="s">
        <v>53</v>
      </c>
      <c r="G13" s="22" t="s">
        <v>54</v>
      </c>
      <c r="H13" s="22" t="s">
        <v>21</v>
      </c>
      <c r="I13" s="22" t="s">
        <v>21</v>
      </c>
      <c r="J13" s="22" t="s">
        <v>55</v>
      </c>
      <c r="K13" s="23" t="s">
        <v>56</v>
      </c>
      <c r="L13" s="23" t="s">
        <v>57</v>
      </c>
      <c r="M13" s="48"/>
      <c r="N13" s="35" t="str">
        <f t="shared" si="0"/>
        <v>passLockTerm</v>
      </c>
    </row>
    <row r="14" spans="2:14" ht="33.75">
      <c r="B14" s="31"/>
      <c r="C14" s="37" t="s">
        <v>16</v>
      </c>
      <c r="D14" s="37" t="s">
        <v>16</v>
      </c>
      <c r="E14" s="24" t="s">
        <v>58</v>
      </c>
      <c r="F14" s="22" t="s">
        <v>59</v>
      </c>
      <c r="G14" s="22" t="s">
        <v>44</v>
      </c>
      <c r="H14" s="22" t="s">
        <v>21</v>
      </c>
      <c r="I14" s="22" t="s">
        <v>21</v>
      </c>
      <c r="J14" s="22" t="s">
        <v>60</v>
      </c>
      <c r="K14" s="23" t="s">
        <v>61</v>
      </c>
      <c r="L14" s="23" t="s">
        <v>62</v>
      </c>
      <c r="M14" s="48"/>
      <c r="N14" s="35" t="str">
        <f t="shared" si="0"/>
        <v>requirePassChange</v>
      </c>
    </row>
    <row r="15" spans="2:14" ht="22.5">
      <c r="B15" s="28" t="s">
        <v>63</v>
      </c>
      <c r="C15" s="37" t="s">
        <v>16</v>
      </c>
      <c r="D15" s="37" t="s">
        <v>16</v>
      </c>
      <c r="E15" s="24" t="s">
        <v>64</v>
      </c>
      <c r="F15" s="22" t="s">
        <v>65</v>
      </c>
      <c r="G15" s="22" t="s">
        <v>66</v>
      </c>
      <c r="H15" s="22" t="s">
        <v>21</v>
      </c>
      <c r="I15" s="22" t="s">
        <v>21</v>
      </c>
      <c r="J15" s="22" t="s">
        <v>67</v>
      </c>
      <c r="K15" s="23" t="s">
        <v>68</v>
      </c>
      <c r="L15" s="23" t="s">
        <v>69</v>
      </c>
      <c r="M15" s="48"/>
      <c r="N15" s="35" t="str">
        <f t="shared" si="0"/>
        <v>intraFlg</v>
      </c>
    </row>
    <row r="16" spans="2:14" ht="33.75">
      <c r="B16" s="21"/>
      <c r="C16" s="37" t="s">
        <v>16</v>
      </c>
      <c r="D16" s="37" t="s">
        <v>16</v>
      </c>
      <c r="E16" s="24" t="s">
        <v>70</v>
      </c>
      <c r="F16" s="22" t="s">
        <v>71</v>
      </c>
      <c r="G16" s="36" t="s">
        <v>72</v>
      </c>
      <c r="H16" s="22" t="s">
        <v>21</v>
      </c>
      <c r="I16" s="22" t="s">
        <v>44</v>
      </c>
      <c r="J16" s="19"/>
      <c r="K16" s="23" t="s">
        <v>73</v>
      </c>
      <c r="L16" s="23" t="s">
        <v>74</v>
      </c>
      <c r="M16" s="48"/>
      <c r="N16" s="35" t="str">
        <f t="shared" si="0"/>
        <v>ekispertIntraActionUrl</v>
      </c>
    </row>
    <row r="17" spans="2:14" ht="22.5" customHeight="1">
      <c r="B17" s="21"/>
      <c r="C17" s="70" t="s">
        <v>16</v>
      </c>
      <c r="D17" s="70" t="s">
        <v>16</v>
      </c>
      <c r="E17" s="71" t="s">
        <v>75</v>
      </c>
      <c r="F17" s="72" t="s">
        <v>76</v>
      </c>
      <c r="G17" s="73" t="s">
        <v>77</v>
      </c>
      <c r="H17" s="73" t="s">
        <v>44</v>
      </c>
      <c r="I17" s="73" t="s">
        <v>44</v>
      </c>
      <c r="J17" s="73"/>
      <c r="K17" s="72" t="s">
        <v>78</v>
      </c>
      <c r="L17" s="72" t="s">
        <v>79</v>
      </c>
      <c r="M17" s="74"/>
      <c r="N17" s="65" t="str">
        <f t="shared" si="0"/>
        <v>ekispertWebUrlStation</v>
      </c>
    </row>
    <row r="18" spans="2:14" ht="22.5" customHeight="1">
      <c r="B18" s="21"/>
      <c r="C18" s="70" t="s">
        <v>16</v>
      </c>
      <c r="D18" s="70" t="s">
        <v>16</v>
      </c>
      <c r="E18" s="71" t="s">
        <v>80</v>
      </c>
      <c r="F18" s="72" t="s">
        <v>81</v>
      </c>
      <c r="G18" s="73" t="s">
        <v>82</v>
      </c>
      <c r="H18" s="73" t="s">
        <v>44</v>
      </c>
      <c r="I18" s="73" t="s">
        <v>44</v>
      </c>
      <c r="J18" s="73"/>
      <c r="K18" s="72" t="s">
        <v>83</v>
      </c>
      <c r="L18" s="72" t="s">
        <v>84</v>
      </c>
      <c r="M18" s="74"/>
      <c r="N18" s="65" t="str">
        <f t="shared" si="0"/>
        <v>ekispertWebUrlRoute</v>
      </c>
    </row>
    <row r="19" spans="2:14" ht="22.5" customHeight="1">
      <c r="B19" s="21"/>
      <c r="C19" s="70" t="s">
        <v>16</v>
      </c>
      <c r="D19" s="70" t="s">
        <v>16</v>
      </c>
      <c r="E19" s="71" t="s">
        <v>85</v>
      </c>
      <c r="F19" s="72" t="s">
        <v>86</v>
      </c>
      <c r="G19" s="73" t="s">
        <v>87</v>
      </c>
      <c r="H19" s="73" t="s">
        <v>44</v>
      </c>
      <c r="I19" s="73" t="s">
        <v>44</v>
      </c>
      <c r="J19" s="73"/>
      <c r="K19" s="72" t="s">
        <v>88</v>
      </c>
      <c r="L19" s="72" t="s">
        <v>89</v>
      </c>
      <c r="M19" s="74"/>
      <c r="N19" s="65" t="str">
        <f t="shared" si="0"/>
        <v>ekispertWebUrlMapList</v>
      </c>
    </row>
    <row r="20" spans="2:14" ht="22.5" customHeight="1">
      <c r="B20" s="21"/>
      <c r="C20" s="70" t="s">
        <v>16</v>
      </c>
      <c r="D20" s="70" t="s">
        <v>16</v>
      </c>
      <c r="E20" s="71" t="s">
        <v>90</v>
      </c>
      <c r="F20" s="72" t="s">
        <v>91</v>
      </c>
      <c r="G20" s="73" t="s">
        <v>92</v>
      </c>
      <c r="H20" s="73" t="s">
        <v>44</v>
      </c>
      <c r="I20" s="73" t="s">
        <v>44</v>
      </c>
      <c r="J20" s="73"/>
      <c r="K20" s="72" t="s">
        <v>93</v>
      </c>
      <c r="L20" s="72" t="s">
        <v>94</v>
      </c>
      <c r="M20" s="74"/>
      <c r="N20" s="65" t="str">
        <f t="shared" si="0"/>
        <v>ekispertWebUrlMapStaton</v>
      </c>
    </row>
    <row r="21" spans="2:14" ht="22.5" customHeight="1">
      <c r="B21" s="21"/>
      <c r="C21" s="70" t="s">
        <v>16</v>
      </c>
      <c r="D21" s="70" t="s">
        <v>16</v>
      </c>
      <c r="E21" s="71" t="s">
        <v>95</v>
      </c>
      <c r="F21" s="72" t="s">
        <v>96</v>
      </c>
      <c r="G21" s="73" t="s">
        <v>97</v>
      </c>
      <c r="H21" s="73" t="s">
        <v>44</v>
      </c>
      <c r="I21" s="73" t="s">
        <v>44</v>
      </c>
      <c r="J21" s="73"/>
      <c r="K21" s="72" t="s">
        <v>98</v>
      </c>
      <c r="L21" s="72" t="s">
        <v>99</v>
      </c>
      <c r="M21" s="74"/>
      <c r="N21" s="65" t="str">
        <f t="shared" si="0"/>
        <v>ekispertWebUrlMapImage</v>
      </c>
    </row>
    <row r="22" spans="2:14" ht="22.5" customHeight="1">
      <c r="B22" s="21"/>
      <c r="C22" s="70" t="s">
        <v>16</v>
      </c>
      <c r="D22" s="70" t="s">
        <v>16</v>
      </c>
      <c r="E22" s="71" t="s">
        <v>100</v>
      </c>
      <c r="F22" s="72" t="s">
        <v>101</v>
      </c>
      <c r="G22" s="73" t="s">
        <v>102</v>
      </c>
      <c r="H22" s="73" t="s">
        <v>44</v>
      </c>
      <c r="I22" s="73" t="s">
        <v>44</v>
      </c>
      <c r="J22" s="73"/>
      <c r="K22" s="72" t="s">
        <v>103</v>
      </c>
      <c r="L22" s="72" t="s">
        <v>104</v>
      </c>
      <c r="M22" s="74"/>
      <c r="N22" s="65" t="str">
        <f t="shared" si="0"/>
        <v>ekispertWebSearch</v>
      </c>
    </row>
    <row r="23" spans="2:14" ht="22.5">
      <c r="B23" s="21"/>
      <c r="C23" s="37" t="s">
        <v>16</v>
      </c>
      <c r="D23" s="37" t="s">
        <v>16</v>
      </c>
      <c r="E23" s="56" t="s">
        <v>105</v>
      </c>
      <c r="F23" s="57" t="s">
        <v>106</v>
      </c>
      <c r="G23" s="22" t="s">
        <v>107</v>
      </c>
      <c r="H23" s="22" t="s">
        <v>21</v>
      </c>
      <c r="I23" s="22" t="s">
        <v>21</v>
      </c>
      <c r="J23" s="22" t="s">
        <v>108</v>
      </c>
      <c r="K23" s="57" t="s">
        <v>109</v>
      </c>
      <c r="L23" s="57" t="s">
        <v>110</v>
      </c>
      <c r="M23" s="48"/>
      <c r="N23" s="35" t="str">
        <f t="shared" si="0"/>
        <v>ekispertIcKbn</v>
      </c>
    </row>
    <row r="24" spans="2:14" ht="45">
      <c r="B24" s="21"/>
      <c r="C24" s="37" t="s">
        <v>16</v>
      </c>
      <c r="D24" s="37" t="s">
        <v>16</v>
      </c>
      <c r="E24" s="56" t="s">
        <v>111</v>
      </c>
      <c r="F24" s="57" t="s">
        <v>112</v>
      </c>
      <c r="G24" s="22" t="s">
        <v>21</v>
      </c>
      <c r="H24" s="22" t="s">
        <v>21</v>
      </c>
      <c r="I24" s="22" t="s">
        <v>21</v>
      </c>
      <c r="J24" s="22" t="s">
        <v>113</v>
      </c>
      <c r="K24" s="57" t="s">
        <v>114</v>
      </c>
      <c r="L24" s="57" t="s">
        <v>115</v>
      </c>
      <c r="M24" s="48"/>
      <c r="N24" s="35" t="str">
        <f t="shared" ref="N24" si="1">LOWER(LEFT(K24,1))&amp;MID(SUBSTITUTE(PROPER(K24),"_",""),2,LEN(K24))</f>
        <v>ekispertIcZenshashitei</v>
      </c>
    </row>
    <row r="25" spans="2:14" ht="78.75">
      <c r="B25" s="21"/>
      <c r="C25" s="37" t="s">
        <v>16</v>
      </c>
      <c r="D25" s="37" t="s">
        <v>16</v>
      </c>
      <c r="E25" s="56" t="s">
        <v>116</v>
      </c>
      <c r="F25" s="57" t="s">
        <v>117</v>
      </c>
      <c r="G25" s="22" t="s">
        <v>118</v>
      </c>
      <c r="H25" s="22" t="s">
        <v>21</v>
      </c>
      <c r="I25" s="22" t="s">
        <v>21</v>
      </c>
      <c r="J25" s="22" t="s">
        <v>119</v>
      </c>
      <c r="K25" s="57" t="s">
        <v>120</v>
      </c>
      <c r="L25" s="57" t="s">
        <v>121</v>
      </c>
      <c r="M25" s="48"/>
      <c r="N25" s="35" t="str">
        <f t="shared" si="0"/>
        <v>ekispertWebIcPreferred</v>
      </c>
    </row>
    <row r="26" spans="2:14" ht="33.75">
      <c r="B26" s="21"/>
      <c r="C26" s="37" t="s">
        <v>16</v>
      </c>
      <c r="D26" s="37" t="s">
        <v>16</v>
      </c>
      <c r="E26" s="56" t="s">
        <v>122</v>
      </c>
      <c r="F26" s="57" t="s">
        <v>123</v>
      </c>
      <c r="G26" s="22" t="s">
        <v>21</v>
      </c>
      <c r="H26" s="22" t="s">
        <v>21</v>
      </c>
      <c r="I26" s="22" t="s">
        <v>21</v>
      </c>
      <c r="J26" s="22" t="s">
        <v>113</v>
      </c>
      <c r="K26" s="57" t="s">
        <v>124</v>
      </c>
      <c r="L26" s="57" t="s">
        <v>125</v>
      </c>
      <c r="M26" s="48"/>
      <c r="N26" s="35" t="str">
        <f t="shared" si="0"/>
        <v>ekispertTeikikukanHaneisaki</v>
      </c>
    </row>
    <row r="27" spans="2:14" ht="56.25">
      <c r="B27" s="21"/>
      <c r="C27" s="37" t="s">
        <v>16</v>
      </c>
      <c r="D27" s="37" t="s">
        <v>16</v>
      </c>
      <c r="E27" s="56" t="s">
        <v>126</v>
      </c>
      <c r="F27" s="57" t="s">
        <v>127</v>
      </c>
      <c r="G27" s="22" t="s">
        <v>44</v>
      </c>
      <c r="H27" s="22" t="s">
        <v>21</v>
      </c>
      <c r="I27" s="22" t="s">
        <v>21</v>
      </c>
      <c r="J27" s="22" t="s">
        <v>60</v>
      </c>
      <c r="K27" s="57" t="s">
        <v>128</v>
      </c>
      <c r="L27" s="57" t="s">
        <v>129</v>
      </c>
      <c r="M27" s="48"/>
      <c r="N27" s="35" t="str">
        <f t="shared" si="0"/>
        <v>ekispertKeiroKanihyouji</v>
      </c>
    </row>
    <row r="28" spans="2:14" ht="45">
      <c r="B28" s="21"/>
      <c r="C28" s="37" t="s">
        <v>16</v>
      </c>
      <c r="D28" s="37" t="s">
        <v>16</v>
      </c>
      <c r="E28" s="56" t="s">
        <v>130</v>
      </c>
      <c r="F28" s="57" t="s">
        <v>131</v>
      </c>
      <c r="G28" s="22" t="s">
        <v>44</v>
      </c>
      <c r="H28" s="22" t="s">
        <v>21</v>
      </c>
      <c r="I28" s="22" t="s">
        <v>21</v>
      </c>
      <c r="J28" s="22" t="s">
        <v>132</v>
      </c>
      <c r="K28" s="57" t="s">
        <v>133</v>
      </c>
      <c r="L28" s="57" t="s">
        <v>134</v>
      </c>
      <c r="M28" s="48"/>
      <c r="N28" s="35" t="str">
        <f t="shared" ref="N28" si="2">LOWER(LEFT(K28,1))&amp;MID(SUBSTITUTE(PROPER(K28),"_",""),2,LEN(K28))</f>
        <v>ekispertKyoriHanei</v>
      </c>
    </row>
    <row r="29" spans="2:14" ht="45">
      <c r="B29" s="21"/>
      <c r="C29" s="37" t="s">
        <v>135</v>
      </c>
      <c r="D29" s="37" t="s">
        <v>135</v>
      </c>
      <c r="E29" s="56" t="s">
        <v>136</v>
      </c>
      <c r="F29" s="57" t="s">
        <v>137</v>
      </c>
      <c r="G29" s="22" t="s">
        <v>138</v>
      </c>
      <c r="H29" s="22" t="s">
        <v>139</v>
      </c>
      <c r="I29" s="22" t="s">
        <v>139</v>
      </c>
      <c r="J29" s="22" t="s">
        <v>140</v>
      </c>
      <c r="K29" s="57" t="s">
        <v>141</v>
      </c>
      <c r="L29" s="57" t="s">
        <v>142</v>
      </c>
      <c r="M29" s="48"/>
      <c r="N29" s="35"/>
    </row>
    <row r="30" spans="2:14" ht="45">
      <c r="B30" s="31"/>
      <c r="C30" s="37" t="s">
        <v>135</v>
      </c>
      <c r="D30" s="37" t="s">
        <v>135</v>
      </c>
      <c r="E30" s="56" t="s">
        <v>143</v>
      </c>
      <c r="F30" s="57" t="s">
        <v>144</v>
      </c>
      <c r="G30" s="22" t="s">
        <v>138</v>
      </c>
      <c r="H30" s="22" t="s">
        <v>139</v>
      </c>
      <c r="I30" s="22" t="s">
        <v>139</v>
      </c>
      <c r="J30" s="22" t="s">
        <v>140</v>
      </c>
      <c r="K30" s="57" t="s">
        <v>145</v>
      </c>
      <c r="L30" s="57" t="s">
        <v>146</v>
      </c>
      <c r="M30" s="48"/>
      <c r="N30" s="35"/>
    </row>
    <row r="31" spans="2:14" ht="67.5">
      <c r="B31" s="21" t="s">
        <v>147</v>
      </c>
      <c r="C31" s="37" t="s">
        <v>16</v>
      </c>
      <c r="D31" s="37" t="s">
        <v>16</v>
      </c>
      <c r="E31" s="24" t="s">
        <v>148</v>
      </c>
      <c r="F31" s="22" t="s">
        <v>149</v>
      </c>
      <c r="G31" s="22" t="s">
        <v>44</v>
      </c>
      <c r="H31" s="22" t="s">
        <v>21</v>
      </c>
      <c r="I31" s="22" t="s">
        <v>21</v>
      </c>
      <c r="J31" s="22" t="s">
        <v>60</v>
      </c>
      <c r="K31" s="23" t="s">
        <v>150</v>
      </c>
      <c r="L31" s="23" t="s">
        <v>151</v>
      </c>
      <c r="M31" s="48"/>
      <c r="N31" s="35" t="str">
        <f t="shared" si="0"/>
        <v>houjinCardDateEnabled</v>
      </c>
    </row>
    <row r="32" spans="2:14" ht="45">
      <c r="B32" s="21"/>
      <c r="C32" s="37" t="s">
        <v>16</v>
      </c>
      <c r="D32" s="37" t="s">
        <v>16</v>
      </c>
      <c r="E32" s="24" t="s">
        <v>152</v>
      </c>
      <c r="F32" s="22" t="s">
        <v>153</v>
      </c>
      <c r="G32" s="22" t="s">
        <v>44</v>
      </c>
      <c r="H32" s="22" t="s">
        <v>21</v>
      </c>
      <c r="I32" s="22" t="s">
        <v>21</v>
      </c>
      <c r="J32" s="22" t="s">
        <v>60</v>
      </c>
      <c r="K32" s="23" t="s">
        <v>154</v>
      </c>
      <c r="L32" s="23" t="s">
        <v>155</v>
      </c>
      <c r="M32" s="48"/>
      <c r="N32" s="35" t="str">
        <f t="shared" si="0"/>
        <v>houjinCardRirekiJyogaiEnable</v>
      </c>
    </row>
    <row r="33" spans="2:14" ht="33.75">
      <c r="B33" s="21"/>
      <c r="C33" s="37" t="s">
        <v>16</v>
      </c>
      <c r="D33" s="37" t="s">
        <v>16</v>
      </c>
      <c r="E33" s="24" t="s">
        <v>156</v>
      </c>
      <c r="F33" s="22" t="s">
        <v>157</v>
      </c>
      <c r="G33" s="22" t="s">
        <v>21</v>
      </c>
      <c r="H33" s="22" t="s">
        <v>21</v>
      </c>
      <c r="I33" s="22" t="s">
        <v>21</v>
      </c>
      <c r="J33" s="22" t="s">
        <v>113</v>
      </c>
      <c r="K33" s="23" t="s">
        <v>158</v>
      </c>
      <c r="L33" s="23" t="s">
        <v>159</v>
      </c>
      <c r="M33" s="48"/>
      <c r="N33" s="35" t="str">
        <f t="shared" ref="N33" si="3">LOWER(LEFT(K33,1))&amp;MID(SUBSTITUTE(PROPER(K33),"_",""),2,LEN(K33))</f>
        <v>houjinCardRirekiJyogaiUser</v>
      </c>
    </row>
    <row r="34" spans="2:14" ht="56.25">
      <c r="B34" s="28" t="s">
        <v>160</v>
      </c>
      <c r="C34" s="37" t="s">
        <v>16</v>
      </c>
      <c r="D34" s="37" t="s">
        <v>16</v>
      </c>
      <c r="E34" s="24" t="s">
        <v>161</v>
      </c>
      <c r="F34" s="22" t="s">
        <v>162</v>
      </c>
      <c r="G34" s="22"/>
      <c r="H34" s="22" t="s">
        <v>21</v>
      </c>
      <c r="I34" s="22" t="s">
        <v>44</v>
      </c>
      <c r="J34" s="22"/>
      <c r="K34" s="23" t="s">
        <v>163</v>
      </c>
      <c r="L34" s="23" t="s">
        <v>164</v>
      </c>
      <c r="M34" s="48"/>
      <c r="N34" s="35" t="str">
        <f t="shared" si="0"/>
        <v>icCardTrain</v>
      </c>
    </row>
    <row r="35" spans="2:14" ht="56.25">
      <c r="B35" s="21"/>
      <c r="C35" s="37" t="s">
        <v>16</v>
      </c>
      <c r="D35" s="37" t="s">
        <v>16</v>
      </c>
      <c r="E35" s="24" t="s">
        <v>165</v>
      </c>
      <c r="F35" s="22" t="s">
        <v>166</v>
      </c>
      <c r="G35" s="22"/>
      <c r="H35" s="22" t="s">
        <v>21</v>
      </c>
      <c r="I35" s="22" t="s">
        <v>44</v>
      </c>
      <c r="J35" s="22"/>
      <c r="K35" s="23" t="s">
        <v>167</v>
      </c>
      <c r="L35" s="23" t="s">
        <v>168</v>
      </c>
      <c r="M35" s="48"/>
      <c r="N35" s="35" t="str">
        <f t="shared" si="0"/>
        <v>icCardBus</v>
      </c>
    </row>
    <row r="36" spans="2:14" ht="45">
      <c r="B36" s="21"/>
      <c r="C36" s="37" t="s">
        <v>16</v>
      </c>
      <c r="D36" s="37" t="s">
        <v>16</v>
      </c>
      <c r="E36" s="24" t="s">
        <v>169</v>
      </c>
      <c r="F36" s="22" t="s">
        <v>170</v>
      </c>
      <c r="G36" s="22" t="s">
        <v>44</v>
      </c>
      <c r="H36" s="22" t="s">
        <v>21</v>
      </c>
      <c r="I36" s="22" t="s">
        <v>21</v>
      </c>
      <c r="J36" s="22" t="s">
        <v>60</v>
      </c>
      <c r="K36" s="23" t="s">
        <v>171</v>
      </c>
      <c r="L36" s="23" t="s">
        <v>172</v>
      </c>
      <c r="M36" s="48"/>
      <c r="N36" s="35" t="str">
        <f t="shared" si="0"/>
        <v>icCardDateEnabled</v>
      </c>
    </row>
    <row r="37" spans="2:14">
      <c r="B37" s="28" t="s">
        <v>173</v>
      </c>
      <c r="C37" s="37" t="s">
        <v>16</v>
      </c>
      <c r="D37" s="37" t="s">
        <v>16</v>
      </c>
      <c r="E37" s="24" t="s">
        <v>174</v>
      </c>
      <c r="F37" s="22" t="s">
        <v>175</v>
      </c>
      <c r="G37" s="22" t="s">
        <v>176</v>
      </c>
      <c r="H37" s="22" t="s">
        <v>20</v>
      </c>
      <c r="I37" s="22" t="s">
        <v>21</v>
      </c>
      <c r="J37" s="22"/>
      <c r="K37" s="23" t="s">
        <v>177</v>
      </c>
      <c r="L37" s="23" t="s">
        <v>178</v>
      </c>
      <c r="M37" s="48"/>
      <c r="N37" s="35" t="str">
        <f t="shared" si="0"/>
        <v>outputFilePathFbdata</v>
      </c>
    </row>
    <row r="38" spans="2:14" ht="33.75">
      <c r="B38" s="21"/>
      <c r="C38" s="37" t="s">
        <v>16</v>
      </c>
      <c r="D38" s="37" t="s">
        <v>16</v>
      </c>
      <c r="E38" s="24" t="s">
        <v>179</v>
      </c>
      <c r="F38" s="22" t="s">
        <v>180</v>
      </c>
      <c r="G38" s="22" t="s">
        <v>181</v>
      </c>
      <c r="H38" s="22" t="s">
        <v>20</v>
      </c>
      <c r="I38" s="22" t="s">
        <v>21</v>
      </c>
      <c r="J38" s="22"/>
      <c r="K38" s="23" t="s">
        <v>182</v>
      </c>
      <c r="L38" s="23" t="s">
        <v>183</v>
      </c>
      <c r="M38" s="48"/>
      <c r="N38" s="35" t="str">
        <f t="shared" si="0"/>
        <v>outputFileNmFbdata</v>
      </c>
    </row>
    <row r="39" spans="2:14" ht="22.5">
      <c r="B39" s="21"/>
      <c r="C39" s="37" t="s">
        <v>16</v>
      </c>
      <c r="D39" s="37" t="s">
        <v>16</v>
      </c>
      <c r="E39" s="24" t="s">
        <v>184</v>
      </c>
      <c r="F39" s="22" t="s">
        <v>185</v>
      </c>
      <c r="G39" s="22" t="s">
        <v>186</v>
      </c>
      <c r="H39" s="22" t="s">
        <v>21</v>
      </c>
      <c r="I39" s="22" t="s">
        <v>21</v>
      </c>
      <c r="J39" s="22" t="s">
        <v>187</v>
      </c>
      <c r="K39" s="23" t="s">
        <v>188</v>
      </c>
      <c r="L39" s="23" t="s">
        <v>189</v>
      </c>
      <c r="M39" s="48"/>
      <c r="N39" s="35" t="str">
        <f t="shared" si="0"/>
        <v>listNumForShiharaibi</v>
      </c>
    </row>
    <row r="40" spans="2:14" ht="33.75">
      <c r="B40" s="21"/>
      <c r="C40" s="37" t="s">
        <v>135</v>
      </c>
      <c r="D40" s="37" t="s">
        <v>135</v>
      </c>
      <c r="E40" s="24" t="s">
        <v>190</v>
      </c>
      <c r="F40" s="22" t="s">
        <v>191</v>
      </c>
      <c r="G40" s="22" t="s">
        <v>139</v>
      </c>
      <c r="H40" s="22" t="s">
        <v>139</v>
      </c>
      <c r="I40" s="22" t="s">
        <v>139</v>
      </c>
      <c r="J40" s="22" t="s">
        <v>60</v>
      </c>
      <c r="K40" s="23" t="s">
        <v>192</v>
      </c>
      <c r="L40" s="23" t="s">
        <v>193</v>
      </c>
      <c r="M40" s="48"/>
      <c r="N40" s="35" t="str">
        <f t="shared" ref="N40" si="4">LOWER(LEFT(K40,1))&amp;MID(SUBSTITUTE(PROPER(K40),"_",""),2,LEN(K40))</f>
        <v>shainCd2KokyakuCd1</v>
      </c>
    </row>
    <row r="41" spans="2:14" ht="33.75">
      <c r="B41" s="21"/>
      <c r="C41" s="37" t="s">
        <v>135</v>
      </c>
      <c r="D41" s="37" t="s">
        <v>135</v>
      </c>
      <c r="E41" s="24" t="s">
        <v>194</v>
      </c>
      <c r="F41" s="22" t="s">
        <v>195</v>
      </c>
      <c r="G41" s="22" t="s">
        <v>44</v>
      </c>
      <c r="H41" s="22" t="s">
        <v>139</v>
      </c>
      <c r="I41" s="22" t="s">
        <v>139</v>
      </c>
      <c r="J41" s="22" t="s">
        <v>60</v>
      </c>
      <c r="K41" s="23" t="s">
        <v>196</v>
      </c>
      <c r="L41" s="23" t="s">
        <v>197</v>
      </c>
      <c r="M41" s="48"/>
      <c r="N41" s="35" t="str">
        <f t="shared" ref="N41" si="5">LOWER(LEFT(K41,1))&amp;MID(SUBSTITUTE(PROPER(K41),"_",""),2,LEN(K41))</f>
        <v>zenginFurikomiKeishiki</v>
      </c>
    </row>
    <row r="42" spans="2:14" ht="33.75">
      <c r="B42" s="31"/>
      <c r="C42" s="37" t="s">
        <v>135</v>
      </c>
      <c r="D42" s="37" t="s">
        <v>135</v>
      </c>
      <c r="E42" s="24" t="s">
        <v>198</v>
      </c>
      <c r="F42" s="22" t="s">
        <v>199</v>
      </c>
      <c r="G42" s="22" t="s">
        <v>200</v>
      </c>
      <c r="H42" s="22" t="s">
        <v>139</v>
      </c>
      <c r="I42" s="22" t="s">
        <v>139</v>
      </c>
      <c r="J42" s="22"/>
      <c r="K42" s="23" t="s">
        <v>201</v>
      </c>
      <c r="L42" s="23" t="s">
        <v>202</v>
      </c>
      <c r="M42" s="48"/>
      <c r="N42" s="35" t="str">
        <f t="shared" si="0"/>
        <v>xmlMessageShikibetsuNo</v>
      </c>
    </row>
    <row r="43" spans="2:14" ht="22.5">
      <c r="B43" s="28" t="s">
        <v>203</v>
      </c>
      <c r="C43" s="37" t="s">
        <v>16</v>
      </c>
      <c r="D43" s="37" t="s">
        <v>16</v>
      </c>
      <c r="E43" s="24" t="s">
        <v>204</v>
      </c>
      <c r="F43" s="22" t="s">
        <v>205</v>
      </c>
      <c r="G43" s="22" t="s">
        <v>206</v>
      </c>
      <c r="H43" s="22" t="s">
        <v>21</v>
      </c>
      <c r="I43" s="22" t="s">
        <v>21</v>
      </c>
      <c r="J43" s="22" t="s">
        <v>207</v>
      </c>
      <c r="K43" s="22" t="s">
        <v>208</v>
      </c>
      <c r="L43" s="23" t="s">
        <v>209</v>
      </c>
      <c r="M43" s="48"/>
      <c r="N43" s="35" t="str">
        <f t="shared" si="0"/>
        <v>op21MparamKaishaCd</v>
      </c>
    </row>
    <row r="44" spans="2:14" ht="67.5">
      <c r="B44" s="21"/>
      <c r="C44" s="37" t="s">
        <v>16</v>
      </c>
      <c r="D44" s="37" t="s">
        <v>16</v>
      </c>
      <c r="E44" s="24" t="s">
        <v>210</v>
      </c>
      <c r="F44" s="22" t="s">
        <v>211</v>
      </c>
      <c r="G44" s="22"/>
      <c r="H44" s="22" t="s">
        <v>21</v>
      </c>
      <c r="I44" s="22" t="s">
        <v>44</v>
      </c>
      <c r="J44" s="22" t="s">
        <v>1388</v>
      </c>
      <c r="K44" s="23" t="s">
        <v>212</v>
      </c>
      <c r="L44" s="23" t="s">
        <v>213</v>
      </c>
      <c r="M44" s="48"/>
      <c r="N44" s="35" t="str">
        <f t="shared" si="0"/>
        <v>shokuchiCd</v>
      </c>
    </row>
    <row r="45" spans="2:14" ht="22.5" customHeight="1">
      <c r="B45" s="21"/>
      <c r="C45" s="70" t="s">
        <v>16</v>
      </c>
      <c r="D45" s="70" t="s">
        <v>16</v>
      </c>
      <c r="E45" s="75" t="s">
        <v>214</v>
      </c>
      <c r="F45" s="73" t="s">
        <v>215</v>
      </c>
      <c r="G45" s="73" t="s">
        <v>44</v>
      </c>
      <c r="H45" s="73" t="s">
        <v>44</v>
      </c>
      <c r="I45" s="73" t="s">
        <v>44</v>
      </c>
      <c r="J45" s="73" t="s">
        <v>60</v>
      </c>
      <c r="K45" s="76" t="s">
        <v>216</v>
      </c>
      <c r="L45" s="76" t="s">
        <v>217</v>
      </c>
      <c r="M45" s="74"/>
      <c r="N45" s="65" t="str">
        <f t="shared" si="0"/>
        <v>op21MparamShoriKbn</v>
      </c>
    </row>
    <row r="46" spans="2:14" ht="33.75" customHeight="1">
      <c r="B46" s="21"/>
      <c r="C46" s="70" t="s">
        <v>16</v>
      </c>
      <c r="D46" s="70" t="s">
        <v>16</v>
      </c>
      <c r="E46" s="75" t="s">
        <v>218</v>
      </c>
      <c r="F46" s="73" t="s">
        <v>219</v>
      </c>
      <c r="G46" s="73" t="s">
        <v>44</v>
      </c>
      <c r="H46" s="73" t="s">
        <v>44</v>
      </c>
      <c r="I46" s="73" t="s">
        <v>44</v>
      </c>
      <c r="J46" s="73" t="s">
        <v>132</v>
      </c>
      <c r="K46" s="76" t="s">
        <v>220</v>
      </c>
      <c r="L46" s="76" t="s">
        <v>221</v>
      </c>
      <c r="M46" s="74"/>
      <c r="N46" s="65" t="str">
        <f t="shared" si="0"/>
        <v>op21MparamDenpyouKeishiki</v>
      </c>
    </row>
    <row r="47" spans="2:14" ht="45">
      <c r="B47" s="21"/>
      <c r="C47" s="37" t="s">
        <v>16</v>
      </c>
      <c r="D47" s="37" t="s">
        <v>16</v>
      </c>
      <c r="E47" s="24" t="s">
        <v>222</v>
      </c>
      <c r="F47" s="22" t="s">
        <v>223</v>
      </c>
      <c r="G47" s="22" t="s">
        <v>44</v>
      </c>
      <c r="H47" s="22" t="s">
        <v>21</v>
      </c>
      <c r="I47" s="22" t="s">
        <v>21</v>
      </c>
      <c r="J47" s="22" t="s">
        <v>132</v>
      </c>
      <c r="K47" s="23" t="s">
        <v>224</v>
      </c>
      <c r="L47" s="23" t="s">
        <v>225</v>
      </c>
      <c r="M47" s="48"/>
      <c r="N47" s="35" t="str">
        <f t="shared" si="0"/>
        <v>op21MparamDenpyouKeishikiA001</v>
      </c>
    </row>
    <row r="48" spans="2:14" ht="45">
      <c r="B48" s="21"/>
      <c r="C48" s="37" t="s">
        <v>16</v>
      </c>
      <c r="D48" s="37" t="s">
        <v>16</v>
      </c>
      <c r="E48" s="24" t="s">
        <v>226</v>
      </c>
      <c r="F48" s="22" t="s">
        <v>227</v>
      </c>
      <c r="G48" s="22" t="s">
        <v>44</v>
      </c>
      <c r="H48" s="22" t="s">
        <v>21</v>
      </c>
      <c r="I48" s="22" t="s">
        <v>21</v>
      </c>
      <c r="J48" s="22" t="s">
        <v>132</v>
      </c>
      <c r="K48" s="23" t="s">
        <v>228</v>
      </c>
      <c r="L48" s="23" t="s">
        <v>225</v>
      </c>
      <c r="M48" s="48"/>
      <c r="N48" s="35" t="str">
        <f t="shared" si="0"/>
        <v>op21MparamDenpyouKeishikiA002</v>
      </c>
    </row>
    <row r="49" spans="2:14" ht="45">
      <c r="B49" s="21"/>
      <c r="C49" s="37" t="s">
        <v>16</v>
      </c>
      <c r="D49" s="37" t="s">
        <v>16</v>
      </c>
      <c r="E49" s="24" t="s">
        <v>229</v>
      </c>
      <c r="F49" s="22" t="s">
        <v>230</v>
      </c>
      <c r="G49" s="22" t="s">
        <v>44</v>
      </c>
      <c r="H49" s="22" t="s">
        <v>21</v>
      </c>
      <c r="I49" s="22" t="s">
        <v>21</v>
      </c>
      <c r="J49" s="22" t="s">
        <v>132</v>
      </c>
      <c r="K49" s="23" t="s">
        <v>231</v>
      </c>
      <c r="L49" s="23" t="s">
        <v>225</v>
      </c>
      <c r="M49" s="48"/>
      <c r="N49" s="35" t="str">
        <f t="shared" si="0"/>
        <v>op21MparamDenpyouKeishikiA003</v>
      </c>
    </row>
    <row r="50" spans="2:14" ht="45">
      <c r="B50" s="21"/>
      <c r="C50" s="37" t="s">
        <v>16</v>
      </c>
      <c r="D50" s="37" t="s">
        <v>16</v>
      </c>
      <c r="E50" s="24" t="s">
        <v>232</v>
      </c>
      <c r="F50" s="22" t="s">
        <v>233</v>
      </c>
      <c r="G50" s="22" t="s">
        <v>44</v>
      </c>
      <c r="H50" s="22" t="s">
        <v>21</v>
      </c>
      <c r="I50" s="22" t="s">
        <v>21</v>
      </c>
      <c r="J50" s="22" t="s">
        <v>132</v>
      </c>
      <c r="K50" s="23" t="s">
        <v>234</v>
      </c>
      <c r="L50" s="23" t="s">
        <v>225</v>
      </c>
      <c r="M50" s="48"/>
      <c r="N50" s="35" t="str">
        <f t="shared" si="0"/>
        <v>op21MparamDenpyouKeishikiA013</v>
      </c>
    </row>
    <row r="51" spans="2:14" ht="45">
      <c r="B51" s="21"/>
      <c r="C51" s="37" t="s">
        <v>16</v>
      </c>
      <c r="D51" s="37" t="s">
        <v>16</v>
      </c>
      <c r="E51" s="24" t="s">
        <v>235</v>
      </c>
      <c r="F51" s="22" t="s">
        <v>236</v>
      </c>
      <c r="G51" s="22" t="s">
        <v>44</v>
      </c>
      <c r="H51" s="22" t="s">
        <v>21</v>
      </c>
      <c r="I51" s="22" t="s">
        <v>21</v>
      </c>
      <c r="J51" s="22" t="s">
        <v>132</v>
      </c>
      <c r="K51" s="23" t="s">
        <v>237</v>
      </c>
      <c r="L51" s="23" t="s">
        <v>225</v>
      </c>
      <c r="M51" s="48"/>
      <c r="N51" s="35" t="str">
        <f t="shared" si="0"/>
        <v>op21MparamDenpyouKeishikiA009</v>
      </c>
    </row>
    <row r="52" spans="2:14" ht="45">
      <c r="B52" s="21"/>
      <c r="C52" s="37" t="s">
        <v>16</v>
      </c>
      <c r="D52" s="37" t="s">
        <v>16</v>
      </c>
      <c r="E52" s="24" t="s">
        <v>238</v>
      </c>
      <c r="F52" s="22" t="s">
        <v>239</v>
      </c>
      <c r="G52" s="22" t="s">
        <v>44</v>
      </c>
      <c r="H52" s="22" t="s">
        <v>21</v>
      </c>
      <c r="I52" s="22" t="s">
        <v>21</v>
      </c>
      <c r="J52" s="22" t="s">
        <v>132</v>
      </c>
      <c r="K52" s="23" t="s">
        <v>240</v>
      </c>
      <c r="L52" s="23" t="s">
        <v>225</v>
      </c>
      <c r="M52" s="48"/>
      <c r="N52" s="35" t="str">
        <f t="shared" si="0"/>
        <v>op21MparamDenpyouKeishikiA004</v>
      </c>
    </row>
    <row r="53" spans="2:14" ht="45">
      <c r="B53" s="21"/>
      <c r="C53" s="37" t="s">
        <v>16</v>
      </c>
      <c r="D53" s="37" t="s">
        <v>16</v>
      </c>
      <c r="E53" s="24" t="s">
        <v>241</v>
      </c>
      <c r="F53" s="22" t="s">
        <v>242</v>
      </c>
      <c r="G53" s="22" t="s">
        <v>44</v>
      </c>
      <c r="H53" s="22" t="s">
        <v>21</v>
      </c>
      <c r="I53" s="22" t="s">
        <v>21</v>
      </c>
      <c r="J53" s="22" t="s">
        <v>132</v>
      </c>
      <c r="K53" s="23" t="s">
        <v>243</v>
      </c>
      <c r="L53" s="23" t="s">
        <v>225</v>
      </c>
      <c r="M53" s="48"/>
      <c r="N53" s="35" t="str">
        <f t="shared" si="0"/>
        <v>op21MparamDenpyouKeishikiA005</v>
      </c>
    </row>
    <row r="54" spans="2:14" ht="45">
      <c r="B54" s="25"/>
      <c r="C54" s="26" t="s">
        <v>16</v>
      </c>
      <c r="D54" s="26" t="s">
        <v>16</v>
      </c>
      <c r="E54" s="29" t="s">
        <v>244</v>
      </c>
      <c r="F54" s="27" t="s">
        <v>245</v>
      </c>
      <c r="G54" s="27" t="s">
        <v>44</v>
      </c>
      <c r="H54" s="27" t="s">
        <v>21</v>
      </c>
      <c r="I54" s="27" t="s">
        <v>21</v>
      </c>
      <c r="J54" s="27" t="s">
        <v>132</v>
      </c>
      <c r="K54" s="30" t="s">
        <v>246</v>
      </c>
      <c r="L54" s="30" t="s">
        <v>225</v>
      </c>
      <c r="M54" s="49"/>
      <c r="N54" s="35" t="str">
        <f t="shared" si="0"/>
        <v>op21MparamDenpyouKeishikiA011</v>
      </c>
    </row>
    <row r="55" spans="2:14" ht="45">
      <c r="B55" s="21"/>
      <c r="C55" s="37" t="s">
        <v>16</v>
      </c>
      <c r="D55" s="37" t="s">
        <v>16</v>
      </c>
      <c r="E55" s="24" t="s">
        <v>247</v>
      </c>
      <c r="F55" s="22" t="s">
        <v>248</v>
      </c>
      <c r="G55" s="22" t="s">
        <v>44</v>
      </c>
      <c r="H55" s="22" t="s">
        <v>21</v>
      </c>
      <c r="I55" s="22" t="s">
        <v>21</v>
      </c>
      <c r="J55" s="22" t="s">
        <v>132</v>
      </c>
      <c r="K55" s="23" t="s">
        <v>249</v>
      </c>
      <c r="L55" s="23" t="s">
        <v>225</v>
      </c>
      <c r="M55" s="48"/>
      <c r="N55" s="35" t="str">
        <f t="shared" si="0"/>
        <v>op21MparamDenpyouKeishikiA012</v>
      </c>
    </row>
    <row r="56" spans="2:14" ht="45">
      <c r="B56" s="21"/>
      <c r="C56" s="37" t="s">
        <v>16</v>
      </c>
      <c r="D56" s="37" t="s">
        <v>16</v>
      </c>
      <c r="E56" s="24" t="s">
        <v>250</v>
      </c>
      <c r="F56" s="22" t="s">
        <v>251</v>
      </c>
      <c r="G56" s="22" t="s">
        <v>44</v>
      </c>
      <c r="H56" s="22" t="s">
        <v>21</v>
      </c>
      <c r="I56" s="22" t="s">
        <v>21</v>
      </c>
      <c r="J56" s="22" t="s">
        <v>132</v>
      </c>
      <c r="K56" s="23" t="s">
        <v>252</v>
      </c>
      <c r="L56" s="23" t="s">
        <v>225</v>
      </c>
      <c r="M56" s="48"/>
      <c r="N56" s="35" t="str">
        <f t="shared" si="0"/>
        <v>op21MparamDenpyouKeishikiA010</v>
      </c>
    </row>
    <row r="57" spans="2:14" ht="45">
      <c r="B57" s="21"/>
      <c r="C57" s="37" t="s">
        <v>16</v>
      </c>
      <c r="D57" s="37" t="s">
        <v>16</v>
      </c>
      <c r="E57" s="24" t="s">
        <v>253</v>
      </c>
      <c r="F57" s="22" t="s">
        <v>254</v>
      </c>
      <c r="G57" s="22" t="s">
        <v>44</v>
      </c>
      <c r="H57" s="22" t="s">
        <v>21</v>
      </c>
      <c r="I57" s="22" t="s">
        <v>21</v>
      </c>
      <c r="J57" s="22" t="s">
        <v>132</v>
      </c>
      <c r="K57" s="23" t="s">
        <v>255</v>
      </c>
      <c r="L57" s="23" t="s">
        <v>225</v>
      </c>
      <c r="M57" s="48"/>
      <c r="N57" s="35" t="str">
        <f t="shared" si="0"/>
        <v>op21MparamDenpyouKeishikiA006</v>
      </c>
    </row>
    <row r="58" spans="2:14" ht="33.75" customHeight="1">
      <c r="B58" s="21"/>
      <c r="C58" s="70" t="s">
        <v>16</v>
      </c>
      <c r="D58" s="70" t="s">
        <v>16</v>
      </c>
      <c r="E58" s="75" t="s">
        <v>256</v>
      </c>
      <c r="F58" s="73" t="s">
        <v>257</v>
      </c>
      <c r="G58" s="73" t="s">
        <v>258</v>
      </c>
      <c r="H58" s="73" t="s">
        <v>44</v>
      </c>
      <c r="I58" s="73" t="s">
        <v>44</v>
      </c>
      <c r="J58" s="73" t="s">
        <v>259</v>
      </c>
      <c r="K58" s="76" t="s">
        <v>260</v>
      </c>
      <c r="L58" s="76" t="s">
        <v>261</v>
      </c>
      <c r="M58" s="74"/>
      <c r="N58" s="65" t="str">
        <f t="shared" si="0"/>
        <v>op21MparamFuryouDataLog</v>
      </c>
    </row>
    <row r="59" spans="2:14" ht="11.25" customHeight="1">
      <c r="B59" s="21"/>
      <c r="C59" s="70" t="s">
        <v>16</v>
      </c>
      <c r="D59" s="70" t="s">
        <v>16</v>
      </c>
      <c r="E59" s="75" t="s">
        <v>262</v>
      </c>
      <c r="F59" s="73" t="s">
        <v>263</v>
      </c>
      <c r="G59" s="73" t="s">
        <v>264</v>
      </c>
      <c r="H59" s="73" t="s">
        <v>44</v>
      </c>
      <c r="I59" s="73" t="s">
        <v>44</v>
      </c>
      <c r="J59" s="73"/>
      <c r="K59" s="76" t="s">
        <v>265</v>
      </c>
      <c r="L59" s="76" t="s">
        <v>266</v>
      </c>
      <c r="M59" s="74"/>
      <c r="N59" s="65" t="str">
        <f t="shared" si="0"/>
        <v>op21MparamCsvPath</v>
      </c>
    </row>
    <row r="60" spans="2:14" ht="22.5" customHeight="1">
      <c r="B60" s="21"/>
      <c r="C60" s="70" t="s">
        <v>16</v>
      </c>
      <c r="D60" s="70" t="s">
        <v>16</v>
      </c>
      <c r="E60" s="75" t="s">
        <v>267</v>
      </c>
      <c r="F60" s="73" t="s">
        <v>268</v>
      </c>
      <c r="G60" s="73" t="s">
        <v>269</v>
      </c>
      <c r="H60" s="73" t="s">
        <v>44</v>
      </c>
      <c r="I60" s="73" t="s">
        <v>44</v>
      </c>
      <c r="J60" s="73"/>
      <c r="K60" s="76" t="s">
        <v>270</v>
      </c>
      <c r="L60" s="76" t="s">
        <v>271</v>
      </c>
      <c r="M60" s="74"/>
      <c r="N60" s="65" t="str">
        <f t="shared" si="0"/>
        <v>op21MparamCsvFileNm</v>
      </c>
    </row>
    <row r="61" spans="2:14" ht="11.25" customHeight="1">
      <c r="B61" s="21"/>
      <c r="C61" s="70" t="s">
        <v>16</v>
      </c>
      <c r="D61" s="70" t="s">
        <v>16</v>
      </c>
      <c r="E61" s="75" t="s">
        <v>272</v>
      </c>
      <c r="F61" s="73" t="s">
        <v>273</v>
      </c>
      <c r="G61" s="73" t="s">
        <v>274</v>
      </c>
      <c r="H61" s="73" t="s">
        <v>44</v>
      </c>
      <c r="I61" s="73" t="s">
        <v>44</v>
      </c>
      <c r="J61" s="73"/>
      <c r="K61" s="76" t="s">
        <v>275</v>
      </c>
      <c r="L61" s="76" t="s">
        <v>276</v>
      </c>
      <c r="M61" s="74"/>
      <c r="N61" s="65" t="str">
        <f t="shared" si="0"/>
        <v>op21MparamLogPath</v>
      </c>
    </row>
    <row r="62" spans="2:14" ht="22.5" customHeight="1">
      <c r="B62" s="21"/>
      <c r="C62" s="70" t="s">
        <v>16</v>
      </c>
      <c r="D62" s="70" t="s">
        <v>16</v>
      </c>
      <c r="E62" s="75" t="s">
        <v>277</v>
      </c>
      <c r="F62" s="73" t="s">
        <v>278</v>
      </c>
      <c r="G62" s="73" t="s">
        <v>279</v>
      </c>
      <c r="H62" s="73" t="s">
        <v>44</v>
      </c>
      <c r="I62" s="73" t="s">
        <v>44</v>
      </c>
      <c r="J62" s="73"/>
      <c r="K62" s="76" t="s">
        <v>280</v>
      </c>
      <c r="L62" s="76" t="s">
        <v>281</v>
      </c>
      <c r="M62" s="74"/>
      <c r="N62" s="65" t="str">
        <f t="shared" si="0"/>
        <v>op21MparamLogFileNm</v>
      </c>
    </row>
    <row r="63" spans="2:14" ht="22.5" customHeight="1">
      <c r="B63" s="21"/>
      <c r="C63" s="70" t="s">
        <v>16</v>
      </c>
      <c r="D63" s="70"/>
      <c r="E63" s="73" t="s">
        <v>282</v>
      </c>
      <c r="F63" s="73" t="s">
        <v>283</v>
      </c>
      <c r="G63" s="73" t="s">
        <v>44</v>
      </c>
      <c r="H63" s="73" t="s">
        <v>44</v>
      </c>
      <c r="I63" s="73" t="s">
        <v>44</v>
      </c>
      <c r="J63" s="73"/>
      <c r="K63" s="76" t="s">
        <v>284</v>
      </c>
      <c r="L63" s="76" t="s">
        <v>285</v>
      </c>
      <c r="M63" s="74"/>
      <c r="N63" s="65" t="str">
        <f t="shared" si="0"/>
        <v>op21MparamLayoutNo</v>
      </c>
    </row>
    <row r="64" spans="2:14" ht="22.5" customHeight="1">
      <c r="B64" s="21"/>
      <c r="C64" s="70"/>
      <c r="D64" s="70" t="s">
        <v>16</v>
      </c>
      <c r="E64" s="75" t="s">
        <v>282</v>
      </c>
      <c r="F64" s="73" t="s">
        <v>283</v>
      </c>
      <c r="G64" s="73" t="s">
        <v>21</v>
      </c>
      <c r="H64" s="73" t="s">
        <v>44</v>
      </c>
      <c r="I64" s="73" t="s">
        <v>44</v>
      </c>
      <c r="J64" s="73"/>
      <c r="K64" s="76" t="s">
        <v>284</v>
      </c>
      <c r="L64" s="76" t="s">
        <v>286</v>
      </c>
      <c r="M64" s="74"/>
      <c r="N64" s="65" t="str">
        <f t="shared" si="0"/>
        <v>op21MparamLayoutNo</v>
      </c>
    </row>
    <row r="65" spans="2:14" ht="22.5" customHeight="1">
      <c r="B65" s="21"/>
      <c r="C65" s="70" t="s">
        <v>16</v>
      </c>
      <c r="D65" s="70" t="s">
        <v>16</v>
      </c>
      <c r="E65" s="75" t="s">
        <v>287</v>
      </c>
      <c r="F65" s="73" t="s">
        <v>288</v>
      </c>
      <c r="G65" s="73" t="s">
        <v>44</v>
      </c>
      <c r="H65" s="73" t="s">
        <v>44</v>
      </c>
      <c r="I65" s="73" t="s">
        <v>44</v>
      </c>
      <c r="J65" s="73" t="s">
        <v>289</v>
      </c>
      <c r="K65" s="76" t="s">
        <v>290</v>
      </c>
      <c r="L65" s="76" t="s">
        <v>291</v>
      </c>
      <c r="M65" s="74"/>
      <c r="N65" s="65" t="str">
        <f t="shared" si="0"/>
        <v>op21MparamDenpyouNyuuryokuPattern</v>
      </c>
    </row>
    <row r="66" spans="2:14" ht="22.5">
      <c r="B66" s="21"/>
      <c r="C66" s="37" t="s">
        <v>16</v>
      </c>
      <c r="D66" s="37" t="s">
        <v>16</v>
      </c>
      <c r="E66" s="24" t="s">
        <v>292</v>
      </c>
      <c r="F66" s="22" t="s">
        <v>293</v>
      </c>
      <c r="G66" s="22" t="s">
        <v>44</v>
      </c>
      <c r="H66" s="22" t="s">
        <v>21</v>
      </c>
      <c r="I66" s="22" t="s">
        <v>21</v>
      </c>
      <c r="J66" s="22" t="s">
        <v>289</v>
      </c>
      <c r="K66" s="23" t="s">
        <v>294</v>
      </c>
      <c r="L66" s="23" t="s">
        <v>295</v>
      </c>
      <c r="M66" s="48"/>
      <c r="N66" s="35" t="str">
        <f t="shared" si="0"/>
        <v>op21MparamDenpyouNyuuryokuPatternA001</v>
      </c>
    </row>
    <row r="67" spans="2:14" ht="22.5">
      <c r="B67" s="21"/>
      <c r="C67" s="37" t="s">
        <v>16</v>
      </c>
      <c r="D67" s="37" t="s">
        <v>16</v>
      </c>
      <c r="E67" s="24" t="s">
        <v>296</v>
      </c>
      <c r="F67" s="22" t="s">
        <v>297</v>
      </c>
      <c r="G67" s="22" t="s">
        <v>44</v>
      </c>
      <c r="H67" s="22" t="s">
        <v>21</v>
      </c>
      <c r="I67" s="22" t="s">
        <v>21</v>
      </c>
      <c r="J67" s="22" t="s">
        <v>289</v>
      </c>
      <c r="K67" s="23" t="s">
        <v>298</v>
      </c>
      <c r="L67" s="23" t="s">
        <v>295</v>
      </c>
      <c r="M67" s="35"/>
      <c r="N67" s="35" t="str">
        <f t="shared" si="0"/>
        <v>op21MparamDenpyouNyuuryokuPatternA002</v>
      </c>
    </row>
    <row r="68" spans="2:14" ht="22.5">
      <c r="B68" s="21"/>
      <c r="C68" s="37" t="s">
        <v>16</v>
      </c>
      <c r="D68" s="37" t="s">
        <v>16</v>
      </c>
      <c r="E68" s="24" t="s">
        <v>299</v>
      </c>
      <c r="F68" s="22" t="s">
        <v>300</v>
      </c>
      <c r="G68" s="22" t="s">
        <v>44</v>
      </c>
      <c r="H68" s="22" t="s">
        <v>21</v>
      </c>
      <c r="I68" s="22" t="s">
        <v>21</v>
      </c>
      <c r="J68" s="22" t="s">
        <v>289</v>
      </c>
      <c r="K68" s="23" t="s">
        <v>301</v>
      </c>
      <c r="L68" s="23" t="s">
        <v>295</v>
      </c>
      <c r="M68" s="48"/>
      <c r="N68" s="35" t="str">
        <f t="shared" si="0"/>
        <v>op21MparamDenpyouNyuuryokuPatternA003</v>
      </c>
    </row>
    <row r="69" spans="2:14" ht="22.5">
      <c r="B69" s="21"/>
      <c r="C69" s="37" t="s">
        <v>16</v>
      </c>
      <c r="D69" s="37" t="s">
        <v>16</v>
      </c>
      <c r="E69" s="24" t="s">
        <v>302</v>
      </c>
      <c r="F69" s="22" t="s">
        <v>303</v>
      </c>
      <c r="G69" s="22" t="s">
        <v>44</v>
      </c>
      <c r="H69" s="22" t="s">
        <v>21</v>
      </c>
      <c r="I69" s="22" t="s">
        <v>21</v>
      </c>
      <c r="J69" s="22" t="s">
        <v>289</v>
      </c>
      <c r="K69" s="23" t="s">
        <v>304</v>
      </c>
      <c r="L69" s="23" t="s">
        <v>295</v>
      </c>
      <c r="M69" s="48"/>
      <c r="N69" s="35" t="str">
        <f t="shared" si="0"/>
        <v>op21MparamDenpyouNyuuryokuPatternA013</v>
      </c>
    </row>
    <row r="70" spans="2:14" ht="22.5">
      <c r="B70" s="21"/>
      <c r="C70" s="37" t="s">
        <v>16</v>
      </c>
      <c r="D70" s="37" t="s">
        <v>16</v>
      </c>
      <c r="E70" s="24" t="s">
        <v>305</v>
      </c>
      <c r="F70" s="22" t="s">
        <v>306</v>
      </c>
      <c r="G70" s="22" t="s">
        <v>44</v>
      </c>
      <c r="H70" s="22" t="s">
        <v>21</v>
      </c>
      <c r="I70" s="22" t="s">
        <v>21</v>
      </c>
      <c r="J70" s="22" t="s">
        <v>289</v>
      </c>
      <c r="K70" s="23" t="s">
        <v>307</v>
      </c>
      <c r="L70" s="23" t="s">
        <v>295</v>
      </c>
      <c r="M70" s="48"/>
      <c r="N70" s="35" t="str">
        <f t="shared" si="0"/>
        <v>op21MparamDenpyouNyuuryokuPatternA009</v>
      </c>
    </row>
    <row r="71" spans="2:14" ht="22.5">
      <c r="B71" s="21"/>
      <c r="C71" s="37" t="s">
        <v>16</v>
      </c>
      <c r="D71" s="37" t="s">
        <v>16</v>
      </c>
      <c r="E71" s="24" t="s">
        <v>308</v>
      </c>
      <c r="F71" s="22" t="s">
        <v>309</v>
      </c>
      <c r="G71" s="22" t="s">
        <v>44</v>
      </c>
      <c r="H71" s="22" t="s">
        <v>21</v>
      </c>
      <c r="I71" s="22" t="s">
        <v>21</v>
      </c>
      <c r="J71" s="22" t="s">
        <v>289</v>
      </c>
      <c r="K71" s="23" t="s">
        <v>310</v>
      </c>
      <c r="L71" s="23" t="s">
        <v>295</v>
      </c>
      <c r="M71" s="48"/>
      <c r="N71" s="35" t="str">
        <f t="shared" si="0"/>
        <v>op21MparamDenpyouNyuuryokuPatternA004</v>
      </c>
    </row>
    <row r="72" spans="2:14" ht="22.5">
      <c r="B72" s="21"/>
      <c r="C72" s="37" t="s">
        <v>16</v>
      </c>
      <c r="D72" s="37" t="s">
        <v>16</v>
      </c>
      <c r="E72" s="24" t="s">
        <v>311</v>
      </c>
      <c r="F72" s="22" t="s">
        <v>312</v>
      </c>
      <c r="G72" s="22" t="s">
        <v>44</v>
      </c>
      <c r="H72" s="22" t="s">
        <v>21</v>
      </c>
      <c r="I72" s="22" t="s">
        <v>21</v>
      </c>
      <c r="J72" s="22" t="s">
        <v>289</v>
      </c>
      <c r="K72" s="23" t="s">
        <v>313</v>
      </c>
      <c r="L72" s="23" t="s">
        <v>295</v>
      </c>
      <c r="M72" s="48"/>
      <c r="N72" s="35" t="str">
        <f t="shared" si="0"/>
        <v>op21MparamDenpyouNyuuryokuPatternA005</v>
      </c>
    </row>
    <row r="73" spans="2:14" ht="22.5">
      <c r="B73" s="25"/>
      <c r="C73" s="26" t="s">
        <v>16</v>
      </c>
      <c r="D73" s="26" t="s">
        <v>16</v>
      </c>
      <c r="E73" s="29" t="s">
        <v>314</v>
      </c>
      <c r="F73" s="27" t="s">
        <v>315</v>
      </c>
      <c r="G73" s="27" t="s">
        <v>44</v>
      </c>
      <c r="H73" s="27" t="s">
        <v>21</v>
      </c>
      <c r="I73" s="27" t="s">
        <v>21</v>
      </c>
      <c r="J73" s="27" t="s">
        <v>289</v>
      </c>
      <c r="K73" s="30" t="s">
        <v>316</v>
      </c>
      <c r="L73" s="30" t="s">
        <v>295</v>
      </c>
      <c r="M73" s="49"/>
      <c r="N73" s="35" t="str">
        <f t="shared" si="0"/>
        <v>op21MparamDenpyouNyuuryokuPatternA011</v>
      </c>
    </row>
    <row r="74" spans="2:14" ht="22.5">
      <c r="B74" s="21"/>
      <c r="C74" s="37" t="s">
        <v>16</v>
      </c>
      <c r="D74" s="37" t="s">
        <v>16</v>
      </c>
      <c r="E74" s="24" t="s">
        <v>317</v>
      </c>
      <c r="F74" s="22" t="s">
        <v>318</v>
      </c>
      <c r="G74" s="22" t="s">
        <v>44</v>
      </c>
      <c r="H74" s="22" t="s">
        <v>21</v>
      </c>
      <c r="I74" s="22" t="s">
        <v>21</v>
      </c>
      <c r="J74" s="22" t="s">
        <v>289</v>
      </c>
      <c r="K74" s="23" t="s">
        <v>319</v>
      </c>
      <c r="L74" s="23" t="s">
        <v>295</v>
      </c>
      <c r="M74" s="48"/>
      <c r="N74" s="35" t="str">
        <f t="shared" si="0"/>
        <v>op21MparamDenpyouNyuuryokuPatternA012</v>
      </c>
    </row>
    <row r="75" spans="2:14" ht="22.5">
      <c r="B75" s="21"/>
      <c r="C75" s="37" t="s">
        <v>16</v>
      </c>
      <c r="D75" s="37" t="s">
        <v>16</v>
      </c>
      <c r="E75" s="24" t="s">
        <v>320</v>
      </c>
      <c r="F75" s="22" t="s">
        <v>321</v>
      </c>
      <c r="G75" s="22" t="s">
        <v>44</v>
      </c>
      <c r="H75" s="22" t="s">
        <v>21</v>
      </c>
      <c r="I75" s="22" t="s">
        <v>21</v>
      </c>
      <c r="J75" s="22" t="s">
        <v>289</v>
      </c>
      <c r="K75" s="23" t="s">
        <v>322</v>
      </c>
      <c r="L75" s="23" t="s">
        <v>295</v>
      </c>
      <c r="M75" s="48"/>
      <c r="N75" s="35" t="str">
        <f t="shared" si="0"/>
        <v>op21MparamDenpyouNyuuryokuPatternA010</v>
      </c>
    </row>
    <row r="76" spans="2:14" ht="22.5">
      <c r="B76" s="21"/>
      <c r="C76" s="37" t="s">
        <v>16</v>
      </c>
      <c r="D76" s="37" t="s">
        <v>16</v>
      </c>
      <c r="E76" s="24" t="s">
        <v>323</v>
      </c>
      <c r="F76" s="22" t="s">
        <v>324</v>
      </c>
      <c r="G76" s="22" t="s">
        <v>44</v>
      </c>
      <c r="H76" s="22" t="s">
        <v>21</v>
      </c>
      <c r="I76" s="22" t="s">
        <v>21</v>
      </c>
      <c r="J76" s="22" t="s">
        <v>289</v>
      </c>
      <c r="K76" s="23" t="s">
        <v>325</v>
      </c>
      <c r="L76" s="23" t="s">
        <v>295</v>
      </c>
      <c r="M76" s="48"/>
      <c r="N76" s="35" t="str">
        <f t="shared" si="0"/>
        <v>op21MparamDenpyouNyuuryokuPatternA006</v>
      </c>
    </row>
    <row r="77" spans="2:14" ht="33.75" customHeight="1">
      <c r="B77" s="21"/>
      <c r="C77" s="70" t="s">
        <v>16</v>
      </c>
      <c r="D77" s="70" t="s">
        <v>16</v>
      </c>
      <c r="E77" s="75" t="s">
        <v>326</v>
      </c>
      <c r="F77" s="73" t="s">
        <v>327</v>
      </c>
      <c r="G77" s="73" t="s">
        <v>44</v>
      </c>
      <c r="H77" s="73" t="s">
        <v>44</v>
      </c>
      <c r="I77" s="73" t="s">
        <v>44</v>
      </c>
      <c r="J77" s="73" t="s">
        <v>60</v>
      </c>
      <c r="K77" s="76" t="s">
        <v>328</v>
      </c>
      <c r="L77" s="76" t="s">
        <v>329</v>
      </c>
      <c r="M77" s="74"/>
      <c r="N77" s="65" t="str">
        <f t="shared" si="0"/>
        <v>op21MparamHoukaKanzanFlg</v>
      </c>
    </row>
    <row r="78" spans="2:14" ht="22.5">
      <c r="B78" s="21"/>
      <c r="C78" s="37" t="s">
        <v>16</v>
      </c>
      <c r="D78" s="37" t="s">
        <v>16</v>
      </c>
      <c r="E78" s="24" t="s">
        <v>330</v>
      </c>
      <c r="F78" s="22" t="s">
        <v>331</v>
      </c>
      <c r="G78" s="22" t="s">
        <v>206</v>
      </c>
      <c r="H78" s="22" t="s">
        <v>21</v>
      </c>
      <c r="I78" s="22" t="s">
        <v>21</v>
      </c>
      <c r="J78" s="22" t="s">
        <v>332</v>
      </c>
      <c r="K78" s="23" t="s">
        <v>333</v>
      </c>
      <c r="L78" s="23" t="s">
        <v>334</v>
      </c>
      <c r="M78" s="48"/>
      <c r="N78" s="35" t="str">
        <f t="shared" si="0"/>
        <v>op21MparamKidouUser</v>
      </c>
    </row>
    <row r="79" spans="2:14" ht="33.75">
      <c r="B79" s="21"/>
      <c r="C79" s="37" t="s">
        <v>16</v>
      </c>
      <c r="D79" s="37"/>
      <c r="E79" s="22" t="s">
        <v>335</v>
      </c>
      <c r="F79" s="22" t="s">
        <v>336</v>
      </c>
      <c r="G79" s="22" t="s">
        <v>21</v>
      </c>
      <c r="H79" s="22" t="s">
        <v>21</v>
      </c>
      <c r="I79" s="22" t="s">
        <v>21</v>
      </c>
      <c r="J79" s="22" t="s">
        <v>113</v>
      </c>
      <c r="K79" s="23" t="s">
        <v>337</v>
      </c>
      <c r="L79" s="23" t="s">
        <v>338</v>
      </c>
      <c r="M79" s="48"/>
      <c r="N79" s="35" t="str">
        <f t="shared" si="0"/>
        <v>shiwakeKbn</v>
      </c>
    </row>
    <row r="80" spans="2:14" ht="33.75">
      <c r="B80" s="21"/>
      <c r="C80" s="37"/>
      <c r="D80" s="37" t="s">
        <v>16</v>
      </c>
      <c r="E80" s="24" t="s">
        <v>335</v>
      </c>
      <c r="F80" s="22" t="s">
        <v>336</v>
      </c>
      <c r="G80" s="22" t="s">
        <v>21</v>
      </c>
      <c r="H80" s="22" t="s">
        <v>21</v>
      </c>
      <c r="I80" s="22" t="s">
        <v>21</v>
      </c>
      <c r="J80" s="22" t="s">
        <v>113</v>
      </c>
      <c r="K80" s="23" t="s">
        <v>337</v>
      </c>
      <c r="L80" s="23" t="s">
        <v>339</v>
      </c>
      <c r="M80" s="48"/>
      <c r="N80" s="35" t="str">
        <f t="shared" si="0"/>
        <v>shiwakeKbn</v>
      </c>
    </row>
    <row r="81" spans="2:14" ht="33.75">
      <c r="B81" s="21"/>
      <c r="C81" s="37" t="s">
        <v>16</v>
      </c>
      <c r="D81" s="37"/>
      <c r="E81" s="22" t="s">
        <v>340</v>
      </c>
      <c r="F81" s="22" t="s">
        <v>341</v>
      </c>
      <c r="G81" s="22" t="s">
        <v>21</v>
      </c>
      <c r="H81" s="22" t="s">
        <v>21</v>
      </c>
      <c r="I81" s="22" t="s">
        <v>44</v>
      </c>
      <c r="J81" s="22" t="s">
        <v>113</v>
      </c>
      <c r="K81" s="23" t="s">
        <v>342</v>
      </c>
      <c r="L81" s="23" t="s">
        <v>343</v>
      </c>
      <c r="M81" s="48"/>
      <c r="N81" s="35" t="str">
        <f t="shared" si="0"/>
        <v>kakuteiUmu</v>
      </c>
    </row>
    <row r="82" spans="2:14" ht="33.75">
      <c r="B82" s="21"/>
      <c r="C82" s="37"/>
      <c r="D82" s="37" t="s">
        <v>16</v>
      </c>
      <c r="E82" s="24" t="s">
        <v>344</v>
      </c>
      <c r="F82" s="22" t="s">
        <v>341</v>
      </c>
      <c r="G82" s="22" t="s">
        <v>21</v>
      </c>
      <c r="H82" s="22" t="s">
        <v>21</v>
      </c>
      <c r="I82" s="22" t="s">
        <v>44</v>
      </c>
      <c r="J82" s="22" t="s">
        <v>113</v>
      </c>
      <c r="K82" s="23" t="s">
        <v>342</v>
      </c>
      <c r="L82" s="23" t="s">
        <v>345</v>
      </c>
      <c r="M82" s="48"/>
      <c r="N82" s="35" t="str">
        <f t="shared" ref="N82:N145" si="6">LOWER(LEFT(K82,1))&amp;MID(SUBSTITUTE(PROPER(K82),"_",""),2,LEN(K82))</f>
        <v>kakuteiUmu</v>
      </c>
    </row>
    <row r="83" spans="2:14" ht="56.25">
      <c r="B83" s="21"/>
      <c r="C83" s="37" t="s">
        <v>16</v>
      </c>
      <c r="D83" s="37"/>
      <c r="E83" s="22" t="s">
        <v>1403</v>
      </c>
      <c r="F83" s="22" t="s">
        <v>346</v>
      </c>
      <c r="G83" s="22" t="s">
        <v>44</v>
      </c>
      <c r="H83" s="22" t="s">
        <v>21</v>
      </c>
      <c r="I83" s="22" t="s">
        <v>21</v>
      </c>
      <c r="J83" s="22" t="s">
        <v>347</v>
      </c>
      <c r="K83" s="23" t="s">
        <v>348</v>
      </c>
      <c r="L83" s="23" t="s">
        <v>349</v>
      </c>
      <c r="M83" s="48"/>
      <c r="N83" s="35" t="str">
        <f t="shared" si="6"/>
        <v>uf1DenpyouIdHanei</v>
      </c>
    </row>
    <row r="84" spans="2:14" ht="78.75">
      <c r="B84" s="21"/>
      <c r="C84" s="37"/>
      <c r="D84" s="37" t="s">
        <v>16</v>
      </c>
      <c r="E84" s="24" t="s">
        <v>1403</v>
      </c>
      <c r="F84" s="22" t="s">
        <v>346</v>
      </c>
      <c r="G84" s="22" t="s">
        <v>44</v>
      </c>
      <c r="H84" s="22" t="s">
        <v>21</v>
      </c>
      <c r="I84" s="22" t="s">
        <v>21</v>
      </c>
      <c r="J84" s="22" t="s">
        <v>350</v>
      </c>
      <c r="K84" s="23" t="s">
        <v>348</v>
      </c>
      <c r="L84" s="23" t="s">
        <v>351</v>
      </c>
      <c r="M84" s="48"/>
      <c r="N84" s="35" t="str">
        <f t="shared" si="6"/>
        <v>uf1DenpyouIdHanei</v>
      </c>
    </row>
    <row r="85" spans="2:14" ht="45">
      <c r="B85" s="21"/>
      <c r="C85" s="37" t="s">
        <v>16</v>
      </c>
      <c r="D85" s="37" t="s">
        <v>16</v>
      </c>
      <c r="E85" s="24" t="s">
        <v>352</v>
      </c>
      <c r="F85" s="22" t="s">
        <v>353</v>
      </c>
      <c r="G85" s="22" t="s">
        <v>21</v>
      </c>
      <c r="H85" s="22" t="s">
        <v>21</v>
      </c>
      <c r="I85" s="22" t="s">
        <v>21</v>
      </c>
      <c r="J85" s="22" t="s">
        <v>60</v>
      </c>
      <c r="K85" s="23" t="s">
        <v>354</v>
      </c>
      <c r="L85" s="23" t="s">
        <v>355</v>
      </c>
      <c r="M85" s="48"/>
      <c r="N85" s="35" t="str">
        <f t="shared" si="6"/>
        <v>kakeNashiShiharaiShiwakeSakusei</v>
      </c>
    </row>
    <row r="86" spans="2:14" ht="56.25">
      <c r="B86" s="21"/>
      <c r="C86" s="37" t="s">
        <v>16</v>
      </c>
      <c r="D86" s="37" t="s">
        <v>16</v>
      </c>
      <c r="E86" s="24" t="s">
        <v>356</v>
      </c>
      <c r="F86" s="22" t="s">
        <v>357</v>
      </c>
      <c r="G86" s="22" t="s">
        <v>21</v>
      </c>
      <c r="H86" s="22" t="s">
        <v>21</v>
      </c>
      <c r="I86" s="22" t="s">
        <v>21</v>
      </c>
      <c r="J86" s="22" t="s">
        <v>60</v>
      </c>
      <c r="K86" s="23" t="s">
        <v>358</v>
      </c>
      <c r="L86" s="23" t="s">
        <v>359</v>
      </c>
      <c r="M86" s="48"/>
      <c r="N86" s="35" t="str">
        <f t="shared" si="6"/>
        <v>kakeAriShiharaiShiwakeSakusei</v>
      </c>
    </row>
    <row r="87" spans="2:14" ht="33.75">
      <c r="B87" s="21"/>
      <c r="C87" s="37" t="s">
        <v>16</v>
      </c>
      <c r="D87" s="37" t="s">
        <v>16</v>
      </c>
      <c r="E87" s="24" t="s">
        <v>360</v>
      </c>
      <c r="F87" s="22" t="s">
        <v>361</v>
      </c>
      <c r="G87" s="22" t="s">
        <v>44</v>
      </c>
      <c r="H87" s="22" t="s">
        <v>21</v>
      </c>
      <c r="I87" s="22" t="s">
        <v>21</v>
      </c>
      <c r="J87" s="22" t="s">
        <v>60</v>
      </c>
      <c r="K87" s="23" t="s">
        <v>362</v>
      </c>
      <c r="L87" s="23" t="s">
        <v>363</v>
      </c>
      <c r="M87" s="48"/>
      <c r="N87" s="35" t="str">
        <f t="shared" si="6"/>
        <v>tsuukinteikiShiwakeSakuseiUmu</v>
      </c>
    </row>
    <row r="88" spans="2:14" ht="45">
      <c r="B88" s="21"/>
      <c r="C88" s="37" t="s">
        <v>16</v>
      </c>
      <c r="D88" s="37"/>
      <c r="E88" s="112" t="s">
        <v>1404</v>
      </c>
      <c r="F88" s="22" t="s">
        <v>364</v>
      </c>
      <c r="G88" s="22" t="s">
        <v>44</v>
      </c>
      <c r="H88" s="22" t="s">
        <v>21</v>
      </c>
      <c r="I88" s="22" t="s">
        <v>21</v>
      </c>
      <c r="J88" s="22" t="s">
        <v>365</v>
      </c>
      <c r="K88" s="23" t="s">
        <v>366</v>
      </c>
      <c r="L88" s="111" t="s">
        <v>1422</v>
      </c>
      <c r="M88" s="48"/>
      <c r="N88" s="35" t="str">
        <f t="shared" si="6"/>
        <v>shainCdRenkei</v>
      </c>
    </row>
    <row r="89" spans="2:14" ht="67.5">
      <c r="B89" s="21"/>
      <c r="C89" s="37"/>
      <c r="D89" s="37" t="s">
        <v>16</v>
      </c>
      <c r="E89" s="113" t="s">
        <v>1404</v>
      </c>
      <c r="F89" s="22" t="s">
        <v>364</v>
      </c>
      <c r="G89" s="22" t="s">
        <v>44</v>
      </c>
      <c r="H89" s="22" t="s">
        <v>21</v>
      </c>
      <c r="I89" s="22" t="s">
        <v>21</v>
      </c>
      <c r="J89" s="22" t="s">
        <v>367</v>
      </c>
      <c r="K89" s="23" t="s">
        <v>366</v>
      </c>
      <c r="L89" s="111" t="s">
        <v>1421</v>
      </c>
      <c r="M89" s="48"/>
      <c r="N89" s="35" t="str">
        <f t="shared" si="6"/>
        <v>shainCdRenkei</v>
      </c>
    </row>
    <row r="90" spans="2:14" ht="33.75">
      <c r="B90" s="21"/>
      <c r="C90" s="37" t="s">
        <v>16</v>
      </c>
      <c r="D90" s="37"/>
      <c r="E90" s="22" t="s">
        <v>1405</v>
      </c>
      <c r="F90" s="22" t="s">
        <v>368</v>
      </c>
      <c r="G90" s="22" t="s">
        <v>44</v>
      </c>
      <c r="H90" s="22" t="s">
        <v>21</v>
      </c>
      <c r="I90" s="22" t="s">
        <v>21</v>
      </c>
      <c r="J90" s="22" t="s">
        <v>347</v>
      </c>
      <c r="K90" s="23" t="s">
        <v>369</v>
      </c>
      <c r="L90" s="23" t="s">
        <v>370</v>
      </c>
      <c r="M90" s="48"/>
      <c r="N90" s="35" t="str">
        <f t="shared" si="6"/>
        <v>houjinCardRenkei</v>
      </c>
    </row>
    <row r="91" spans="2:14" ht="33.75">
      <c r="B91" s="21"/>
      <c r="C91" s="37"/>
      <c r="D91" s="37" t="s">
        <v>16</v>
      </c>
      <c r="E91" s="24" t="s">
        <v>1405</v>
      </c>
      <c r="F91" s="22" t="s">
        <v>368</v>
      </c>
      <c r="G91" s="22" t="s">
        <v>44</v>
      </c>
      <c r="H91" s="22" t="s">
        <v>21</v>
      </c>
      <c r="I91" s="22" t="s">
        <v>21</v>
      </c>
      <c r="J91" s="22" t="s">
        <v>371</v>
      </c>
      <c r="K91" s="23" t="s">
        <v>369</v>
      </c>
      <c r="L91" s="23" t="s">
        <v>372</v>
      </c>
      <c r="M91" s="48"/>
      <c r="N91" s="35" t="str">
        <f t="shared" si="6"/>
        <v>houjinCardRenkei</v>
      </c>
    </row>
    <row r="92" spans="2:14" ht="45">
      <c r="B92" s="21"/>
      <c r="C92" s="37"/>
      <c r="D92" s="37" t="s">
        <v>16</v>
      </c>
      <c r="E92" s="24" t="s">
        <v>373</v>
      </c>
      <c r="F92" s="22" t="s">
        <v>374</v>
      </c>
      <c r="G92" s="22" t="s">
        <v>44</v>
      </c>
      <c r="H92" s="22" t="s">
        <v>21</v>
      </c>
      <c r="I92" s="22" t="s">
        <v>21</v>
      </c>
      <c r="J92" s="22" t="s">
        <v>375</v>
      </c>
      <c r="K92" s="23" t="s">
        <v>376</v>
      </c>
      <c r="L92" s="23" t="s">
        <v>377</v>
      </c>
      <c r="M92" s="55" t="s">
        <v>378</v>
      </c>
      <c r="N92" s="35" t="str">
        <f t="shared" si="6"/>
        <v>hf1Mapping</v>
      </c>
    </row>
    <row r="93" spans="2:14" ht="45">
      <c r="B93" s="21"/>
      <c r="C93" s="37"/>
      <c r="D93" s="37" t="s">
        <v>16</v>
      </c>
      <c r="E93" s="24" t="s">
        <v>379</v>
      </c>
      <c r="F93" s="22" t="s">
        <v>380</v>
      </c>
      <c r="G93" s="22" t="s">
        <v>44</v>
      </c>
      <c r="H93" s="22" t="s">
        <v>21</v>
      </c>
      <c r="I93" s="22" t="s">
        <v>21</v>
      </c>
      <c r="J93" s="22" t="s">
        <v>375</v>
      </c>
      <c r="K93" s="23" t="s">
        <v>381</v>
      </c>
      <c r="L93" s="23" t="s">
        <v>382</v>
      </c>
      <c r="M93" s="48" t="s">
        <v>383</v>
      </c>
      <c r="N93" s="35" t="str">
        <f t="shared" si="6"/>
        <v>hf2Mapping</v>
      </c>
    </row>
    <row r="94" spans="2:14" ht="45">
      <c r="B94" s="21"/>
      <c r="C94" s="37"/>
      <c r="D94" s="37" t="s">
        <v>16</v>
      </c>
      <c r="E94" s="24" t="s">
        <v>384</v>
      </c>
      <c r="F94" s="22" t="s">
        <v>385</v>
      </c>
      <c r="G94" s="22" t="s">
        <v>44</v>
      </c>
      <c r="H94" s="22" t="s">
        <v>21</v>
      </c>
      <c r="I94" s="22" t="s">
        <v>21</v>
      </c>
      <c r="J94" s="22" t="s">
        <v>375</v>
      </c>
      <c r="K94" s="23" t="s">
        <v>386</v>
      </c>
      <c r="L94" s="23" t="s">
        <v>387</v>
      </c>
      <c r="M94" s="48" t="s">
        <v>383</v>
      </c>
      <c r="N94" s="35" t="str">
        <f t="shared" si="6"/>
        <v>hf3Mapping</v>
      </c>
    </row>
    <row r="95" spans="2:14" ht="45">
      <c r="B95" s="21"/>
      <c r="C95" s="37"/>
      <c r="D95" s="37" t="s">
        <v>16</v>
      </c>
      <c r="E95" s="24" t="s">
        <v>388</v>
      </c>
      <c r="F95" s="22" t="s">
        <v>389</v>
      </c>
      <c r="G95" s="22" t="s">
        <v>44</v>
      </c>
      <c r="H95" s="22" t="s">
        <v>21</v>
      </c>
      <c r="I95" s="22" t="s">
        <v>21</v>
      </c>
      <c r="J95" s="22" t="s">
        <v>375</v>
      </c>
      <c r="K95" s="23" t="s">
        <v>390</v>
      </c>
      <c r="L95" s="23" t="s">
        <v>391</v>
      </c>
      <c r="M95" s="48" t="s">
        <v>383</v>
      </c>
      <c r="N95" s="35" t="str">
        <f t="shared" si="6"/>
        <v>hf4Mapping</v>
      </c>
    </row>
    <row r="96" spans="2:14" ht="45">
      <c r="B96" s="21"/>
      <c r="C96" s="37"/>
      <c r="D96" s="37" t="s">
        <v>16</v>
      </c>
      <c r="E96" s="24" t="s">
        <v>392</v>
      </c>
      <c r="F96" s="22" t="s">
        <v>393</v>
      </c>
      <c r="G96" s="22" t="s">
        <v>44</v>
      </c>
      <c r="H96" s="22" t="s">
        <v>21</v>
      </c>
      <c r="I96" s="22" t="s">
        <v>21</v>
      </c>
      <c r="J96" s="22" t="s">
        <v>375</v>
      </c>
      <c r="K96" s="23" t="s">
        <v>394</v>
      </c>
      <c r="L96" s="23" t="s">
        <v>395</v>
      </c>
      <c r="M96" s="48" t="s">
        <v>383</v>
      </c>
      <c r="N96" s="35" t="str">
        <f t="shared" si="6"/>
        <v>hf5Mapping</v>
      </c>
    </row>
    <row r="97" spans="2:14" ht="45">
      <c r="B97" s="21"/>
      <c r="C97" s="37"/>
      <c r="D97" s="37" t="s">
        <v>16</v>
      </c>
      <c r="E97" s="24" t="s">
        <v>396</v>
      </c>
      <c r="F97" s="22" t="s">
        <v>397</v>
      </c>
      <c r="G97" s="22" t="s">
        <v>44</v>
      </c>
      <c r="H97" s="22" t="s">
        <v>21</v>
      </c>
      <c r="I97" s="22" t="s">
        <v>21</v>
      </c>
      <c r="J97" s="22" t="s">
        <v>375</v>
      </c>
      <c r="K97" s="23" t="s">
        <v>398</v>
      </c>
      <c r="L97" s="23" t="s">
        <v>399</v>
      </c>
      <c r="M97" s="48" t="s">
        <v>383</v>
      </c>
      <c r="N97" s="35" t="str">
        <f t="shared" si="6"/>
        <v>hf6Mapping</v>
      </c>
    </row>
    <row r="98" spans="2:14" ht="45">
      <c r="B98" s="21"/>
      <c r="C98" s="37"/>
      <c r="D98" s="37" t="s">
        <v>16</v>
      </c>
      <c r="E98" s="24" t="s">
        <v>400</v>
      </c>
      <c r="F98" s="22" t="s">
        <v>401</v>
      </c>
      <c r="G98" s="22" t="s">
        <v>44</v>
      </c>
      <c r="H98" s="22" t="s">
        <v>21</v>
      </c>
      <c r="I98" s="22" t="s">
        <v>21</v>
      </c>
      <c r="J98" s="22" t="s">
        <v>375</v>
      </c>
      <c r="K98" s="23" t="s">
        <v>402</v>
      </c>
      <c r="L98" s="23" t="s">
        <v>403</v>
      </c>
      <c r="M98" s="48" t="s">
        <v>383</v>
      </c>
      <c r="N98" s="35" t="str">
        <f t="shared" si="6"/>
        <v>hf7Mapping</v>
      </c>
    </row>
    <row r="99" spans="2:14" ht="45">
      <c r="B99" s="21"/>
      <c r="C99" s="37"/>
      <c r="D99" s="37" t="s">
        <v>16</v>
      </c>
      <c r="E99" s="24" t="s">
        <v>404</v>
      </c>
      <c r="F99" s="22" t="s">
        <v>405</v>
      </c>
      <c r="G99" s="22" t="s">
        <v>44</v>
      </c>
      <c r="H99" s="22" t="s">
        <v>21</v>
      </c>
      <c r="I99" s="22" t="s">
        <v>21</v>
      </c>
      <c r="J99" s="22" t="s">
        <v>375</v>
      </c>
      <c r="K99" s="23" t="s">
        <v>406</v>
      </c>
      <c r="L99" s="23" t="s">
        <v>407</v>
      </c>
      <c r="M99" s="48" t="s">
        <v>383</v>
      </c>
      <c r="N99" s="35" t="str">
        <f t="shared" si="6"/>
        <v>hf8Mapping</v>
      </c>
    </row>
    <row r="100" spans="2:14" ht="45">
      <c r="B100" s="21"/>
      <c r="C100" s="37"/>
      <c r="D100" s="37" t="s">
        <v>16</v>
      </c>
      <c r="E100" s="24" t="s">
        <v>408</v>
      </c>
      <c r="F100" s="22" t="s">
        <v>409</v>
      </c>
      <c r="G100" s="22" t="s">
        <v>44</v>
      </c>
      <c r="H100" s="22" t="s">
        <v>21</v>
      </c>
      <c r="I100" s="22" t="s">
        <v>21</v>
      </c>
      <c r="J100" s="22" t="s">
        <v>375</v>
      </c>
      <c r="K100" s="23" t="s">
        <v>410</v>
      </c>
      <c r="L100" s="23" t="s">
        <v>411</v>
      </c>
      <c r="M100" s="48" t="s">
        <v>383</v>
      </c>
      <c r="N100" s="35" t="str">
        <f t="shared" si="6"/>
        <v>hf9Mapping</v>
      </c>
    </row>
    <row r="101" spans="2:14" ht="45">
      <c r="B101" s="21"/>
      <c r="C101" s="37"/>
      <c r="D101" s="37" t="s">
        <v>16</v>
      </c>
      <c r="E101" s="24" t="s">
        <v>412</v>
      </c>
      <c r="F101" s="22" t="s">
        <v>413</v>
      </c>
      <c r="G101" s="22" t="s">
        <v>44</v>
      </c>
      <c r="H101" s="22" t="s">
        <v>21</v>
      </c>
      <c r="I101" s="22" t="s">
        <v>21</v>
      </c>
      <c r="J101" s="22" t="s">
        <v>375</v>
      </c>
      <c r="K101" s="23" t="s">
        <v>414</v>
      </c>
      <c r="L101" s="23" t="s">
        <v>415</v>
      </c>
      <c r="M101" s="48" t="s">
        <v>383</v>
      </c>
      <c r="N101" s="35" t="str">
        <f t="shared" si="6"/>
        <v>hf10Mapping</v>
      </c>
    </row>
    <row r="102" spans="2:14" ht="45">
      <c r="B102" s="21"/>
      <c r="C102" s="37"/>
      <c r="D102" s="37" t="s">
        <v>16</v>
      </c>
      <c r="E102" s="24" t="s">
        <v>416</v>
      </c>
      <c r="F102" s="22" t="s">
        <v>417</v>
      </c>
      <c r="G102" s="22" t="s">
        <v>44</v>
      </c>
      <c r="H102" s="22" t="s">
        <v>21</v>
      </c>
      <c r="I102" s="22" t="s">
        <v>21</v>
      </c>
      <c r="J102" s="22" t="s">
        <v>418</v>
      </c>
      <c r="K102" s="23" t="s">
        <v>419</v>
      </c>
      <c r="L102" s="23" t="s">
        <v>420</v>
      </c>
      <c r="M102" s="55" t="s">
        <v>421</v>
      </c>
      <c r="N102" s="35" t="str">
        <f t="shared" si="6"/>
        <v>uf1Mapping</v>
      </c>
    </row>
    <row r="103" spans="2:14" ht="45">
      <c r="B103" s="21"/>
      <c r="C103" s="37"/>
      <c r="D103" s="37" t="s">
        <v>16</v>
      </c>
      <c r="E103" s="24" t="s">
        <v>422</v>
      </c>
      <c r="F103" s="22" t="s">
        <v>423</v>
      </c>
      <c r="G103" s="22" t="s">
        <v>44</v>
      </c>
      <c r="H103" s="22" t="s">
        <v>21</v>
      </c>
      <c r="I103" s="22" t="s">
        <v>21</v>
      </c>
      <c r="J103" s="22" t="s">
        <v>418</v>
      </c>
      <c r="K103" s="23" t="s">
        <v>424</v>
      </c>
      <c r="L103" s="23" t="s">
        <v>425</v>
      </c>
      <c r="M103" s="48" t="s">
        <v>383</v>
      </c>
      <c r="N103" s="35" t="str">
        <f t="shared" si="6"/>
        <v>uf2Mapping</v>
      </c>
    </row>
    <row r="104" spans="2:14" ht="45">
      <c r="B104" s="21"/>
      <c r="C104" s="37"/>
      <c r="D104" s="37" t="s">
        <v>16</v>
      </c>
      <c r="E104" s="24" t="s">
        <v>426</v>
      </c>
      <c r="F104" s="22" t="s">
        <v>427</v>
      </c>
      <c r="G104" s="22" t="s">
        <v>44</v>
      </c>
      <c r="H104" s="22" t="s">
        <v>21</v>
      </c>
      <c r="I104" s="22" t="s">
        <v>21</v>
      </c>
      <c r="J104" s="22" t="s">
        <v>418</v>
      </c>
      <c r="K104" s="23" t="s">
        <v>428</v>
      </c>
      <c r="L104" s="23" t="s">
        <v>429</v>
      </c>
      <c r="M104" s="48" t="s">
        <v>383</v>
      </c>
      <c r="N104" s="35" t="str">
        <f t="shared" si="6"/>
        <v>uf3Mapping</v>
      </c>
    </row>
    <row r="105" spans="2:14" ht="45">
      <c r="B105" s="21"/>
      <c r="C105" s="37"/>
      <c r="D105" s="37" t="s">
        <v>16</v>
      </c>
      <c r="E105" s="24" t="s">
        <v>430</v>
      </c>
      <c r="F105" s="22" t="s">
        <v>431</v>
      </c>
      <c r="G105" s="22" t="s">
        <v>44</v>
      </c>
      <c r="H105" s="22" t="s">
        <v>21</v>
      </c>
      <c r="I105" s="22" t="s">
        <v>21</v>
      </c>
      <c r="J105" s="22" t="s">
        <v>418</v>
      </c>
      <c r="K105" s="23" t="s">
        <v>432</v>
      </c>
      <c r="L105" s="23" t="s">
        <v>433</v>
      </c>
      <c r="M105" s="48" t="s">
        <v>383</v>
      </c>
      <c r="N105" s="35" t="str">
        <f t="shared" si="6"/>
        <v>uf4Mapping</v>
      </c>
    </row>
    <row r="106" spans="2:14" ht="45">
      <c r="B106" s="21"/>
      <c r="C106" s="37"/>
      <c r="D106" s="37" t="s">
        <v>16</v>
      </c>
      <c r="E106" s="24" t="s">
        <v>434</v>
      </c>
      <c r="F106" s="22" t="s">
        <v>435</v>
      </c>
      <c r="G106" s="22" t="s">
        <v>44</v>
      </c>
      <c r="H106" s="22" t="s">
        <v>21</v>
      </c>
      <c r="I106" s="22" t="s">
        <v>21</v>
      </c>
      <c r="J106" s="22" t="s">
        <v>418</v>
      </c>
      <c r="K106" s="23" t="s">
        <v>436</v>
      </c>
      <c r="L106" s="23" t="s">
        <v>437</v>
      </c>
      <c r="M106" s="48" t="s">
        <v>383</v>
      </c>
      <c r="N106" s="35" t="str">
        <f t="shared" si="6"/>
        <v>uf5Mapping</v>
      </c>
    </row>
    <row r="107" spans="2:14" ht="45">
      <c r="B107" s="21"/>
      <c r="C107" s="37"/>
      <c r="D107" s="37" t="s">
        <v>16</v>
      </c>
      <c r="E107" s="24" t="s">
        <v>438</v>
      </c>
      <c r="F107" s="22" t="s">
        <v>439</v>
      </c>
      <c r="G107" s="22" t="s">
        <v>44</v>
      </c>
      <c r="H107" s="22" t="s">
        <v>21</v>
      </c>
      <c r="I107" s="22" t="s">
        <v>21</v>
      </c>
      <c r="J107" s="22" t="s">
        <v>418</v>
      </c>
      <c r="K107" s="23" t="s">
        <v>440</v>
      </c>
      <c r="L107" s="23" t="s">
        <v>441</v>
      </c>
      <c r="M107" s="48" t="s">
        <v>383</v>
      </c>
      <c r="N107" s="35" t="str">
        <f t="shared" si="6"/>
        <v>uf6Mapping</v>
      </c>
    </row>
    <row r="108" spans="2:14" ht="45">
      <c r="B108" s="21"/>
      <c r="C108" s="37"/>
      <c r="D108" s="37" t="s">
        <v>16</v>
      </c>
      <c r="E108" s="24" t="s">
        <v>442</v>
      </c>
      <c r="F108" s="22" t="s">
        <v>443</v>
      </c>
      <c r="G108" s="22" t="s">
        <v>44</v>
      </c>
      <c r="H108" s="22" t="s">
        <v>21</v>
      </c>
      <c r="I108" s="22" t="s">
        <v>21</v>
      </c>
      <c r="J108" s="22" t="s">
        <v>418</v>
      </c>
      <c r="K108" s="23" t="s">
        <v>444</v>
      </c>
      <c r="L108" s="23" t="s">
        <v>445</v>
      </c>
      <c r="M108" s="48" t="s">
        <v>383</v>
      </c>
      <c r="N108" s="35" t="str">
        <f t="shared" si="6"/>
        <v>uf7Mapping</v>
      </c>
    </row>
    <row r="109" spans="2:14" ht="45">
      <c r="B109" s="21"/>
      <c r="C109" s="37"/>
      <c r="D109" s="37" t="s">
        <v>16</v>
      </c>
      <c r="E109" s="24" t="s">
        <v>446</v>
      </c>
      <c r="F109" s="22" t="s">
        <v>447</v>
      </c>
      <c r="G109" s="22" t="s">
        <v>44</v>
      </c>
      <c r="H109" s="22" t="s">
        <v>21</v>
      </c>
      <c r="I109" s="22" t="s">
        <v>21</v>
      </c>
      <c r="J109" s="22" t="s">
        <v>418</v>
      </c>
      <c r="K109" s="23" t="s">
        <v>448</v>
      </c>
      <c r="L109" s="23" t="s">
        <v>449</v>
      </c>
      <c r="M109" s="48" t="s">
        <v>383</v>
      </c>
      <c r="N109" s="35" t="str">
        <f t="shared" si="6"/>
        <v>uf8Mapping</v>
      </c>
    </row>
    <row r="110" spans="2:14" ht="45">
      <c r="B110" s="21"/>
      <c r="C110" s="37"/>
      <c r="D110" s="37" t="s">
        <v>16</v>
      </c>
      <c r="E110" s="24" t="s">
        <v>450</v>
      </c>
      <c r="F110" s="22" t="s">
        <v>451</v>
      </c>
      <c r="G110" s="22" t="s">
        <v>44</v>
      </c>
      <c r="H110" s="22" t="s">
        <v>21</v>
      </c>
      <c r="I110" s="22" t="s">
        <v>21</v>
      </c>
      <c r="J110" s="22" t="s">
        <v>418</v>
      </c>
      <c r="K110" s="23" t="s">
        <v>452</v>
      </c>
      <c r="L110" s="23" t="s">
        <v>453</v>
      </c>
      <c r="M110" s="48" t="s">
        <v>383</v>
      </c>
      <c r="N110" s="35" t="str">
        <f t="shared" si="6"/>
        <v>uf9Mapping</v>
      </c>
    </row>
    <row r="111" spans="2:14" ht="45">
      <c r="B111" s="21"/>
      <c r="C111" s="37"/>
      <c r="D111" s="37" t="s">
        <v>16</v>
      </c>
      <c r="E111" s="24" t="s">
        <v>454</v>
      </c>
      <c r="F111" s="22" t="s">
        <v>455</v>
      </c>
      <c r="G111" s="22" t="s">
        <v>44</v>
      </c>
      <c r="H111" s="22" t="s">
        <v>21</v>
      </c>
      <c r="I111" s="22" t="s">
        <v>21</v>
      </c>
      <c r="J111" s="22" t="s">
        <v>418</v>
      </c>
      <c r="K111" s="23" t="s">
        <v>456</v>
      </c>
      <c r="L111" s="23" t="s">
        <v>457</v>
      </c>
      <c r="M111" s="48" t="s">
        <v>383</v>
      </c>
      <c r="N111" s="35" t="str">
        <f t="shared" si="6"/>
        <v>uf10Mapping</v>
      </c>
    </row>
    <row r="112" spans="2:14" ht="56.25">
      <c r="B112" s="21"/>
      <c r="C112" s="37"/>
      <c r="D112" s="37" t="s">
        <v>16</v>
      </c>
      <c r="E112" s="24" t="s">
        <v>458</v>
      </c>
      <c r="F112" s="22" t="s">
        <v>459</v>
      </c>
      <c r="G112" s="22" t="s">
        <v>44</v>
      </c>
      <c r="H112" s="22" t="s">
        <v>21</v>
      </c>
      <c r="I112" s="22" t="s">
        <v>21</v>
      </c>
      <c r="J112" s="22" t="s">
        <v>418</v>
      </c>
      <c r="K112" s="23" t="s">
        <v>460</v>
      </c>
      <c r="L112" s="23" t="s">
        <v>461</v>
      </c>
      <c r="M112" s="48" t="s">
        <v>383</v>
      </c>
      <c r="N112" s="35" t="str">
        <f t="shared" si="6"/>
        <v>ufKotei1Mapping</v>
      </c>
    </row>
    <row r="113" spans="2:14" ht="56.25">
      <c r="B113" s="21"/>
      <c r="C113" s="37"/>
      <c r="D113" s="37" t="s">
        <v>16</v>
      </c>
      <c r="E113" s="24" t="s">
        <v>462</v>
      </c>
      <c r="F113" s="22" t="s">
        <v>463</v>
      </c>
      <c r="G113" s="22" t="s">
        <v>44</v>
      </c>
      <c r="H113" s="22" t="s">
        <v>21</v>
      </c>
      <c r="I113" s="22" t="s">
        <v>21</v>
      </c>
      <c r="J113" s="22" t="s">
        <v>418</v>
      </c>
      <c r="K113" s="23" t="s">
        <v>464</v>
      </c>
      <c r="L113" s="23" t="s">
        <v>465</v>
      </c>
      <c r="M113" s="48" t="s">
        <v>383</v>
      </c>
      <c r="N113" s="35" t="str">
        <f t="shared" si="6"/>
        <v>ufKotei2Mapping</v>
      </c>
    </row>
    <row r="114" spans="2:14" ht="56.25">
      <c r="B114" s="21"/>
      <c r="C114" s="37"/>
      <c r="D114" s="37" t="s">
        <v>16</v>
      </c>
      <c r="E114" s="24" t="s">
        <v>466</v>
      </c>
      <c r="F114" s="22" t="s">
        <v>467</v>
      </c>
      <c r="G114" s="22" t="s">
        <v>44</v>
      </c>
      <c r="H114" s="22" t="s">
        <v>21</v>
      </c>
      <c r="I114" s="22" t="s">
        <v>21</v>
      </c>
      <c r="J114" s="22" t="s">
        <v>418</v>
      </c>
      <c r="K114" s="23" t="s">
        <v>468</v>
      </c>
      <c r="L114" s="23" t="s">
        <v>469</v>
      </c>
      <c r="M114" s="48" t="s">
        <v>383</v>
      </c>
      <c r="N114" s="35" t="str">
        <f t="shared" si="6"/>
        <v>ufKotei3Mapping</v>
      </c>
    </row>
    <row r="115" spans="2:14" ht="56.25">
      <c r="B115" s="21"/>
      <c r="C115" s="37"/>
      <c r="D115" s="37" t="s">
        <v>16</v>
      </c>
      <c r="E115" s="24" t="s">
        <v>470</v>
      </c>
      <c r="F115" s="22" t="s">
        <v>471</v>
      </c>
      <c r="G115" s="22" t="s">
        <v>44</v>
      </c>
      <c r="H115" s="22" t="s">
        <v>21</v>
      </c>
      <c r="I115" s="22" t="s">
        <v>21</v>
      </c>
      <c r="J115" s="22" t="s">
        <v>418</v>
      </c>
      <c r="K115" s="23" t="s">
        <v>472</v>
      </c>
      <c r="L115" s="23" t="s">
        <v>473</v>
      </c>
      <c r="M115" s="48" t="s">
        <v>383</v>
      </c>
      <c r="N115" s="35" t="str">
        <f t="shared" si="6"/>
        <v>ufKotei4Mapping</v>
      </c>
    </row>
    <row r="116" spans="2:14" ht="56.25">
      <c r="B116" s="21"/>
      <c r="C116" s="37"/>
      <c r="D116" s="37" t="s">
        <v>16</v>
      </c>
      <c r="E116" s="24" t="s">
        <v>474</v>
      </c>
      <c r="F116" s="22" t="s">
        <v>475</v>
      </c>
      <c r="G116" s="22" t="s">
        <v>44</v>
      </c>
      <c r="H116" s="22" t="s">
        <v>21</v>
      </c>
      <c r="I116" s="22" t="s">
        <v>21</v>
      </c>
      <c r="J116" s="22" t="s">
        <v>418</v>
      </c>
      <c r="K116" s="23" t="s">
        <v>476</v>
      </c>
      <c r="L116" s="23" t="s">
        <v>477</v>
      </c>
      <c r="M116" s="48" t="s">
        <v>383</v>
      </c>
      <c r="N116" s="35" t="str">
        <f t="shared" si="6"/>
        <v>ufKotei5Mapping</v>
      </c>
    </row>
    <row r="117" spans="2:14" ht="56.25">
      <c r="B117" s="21"/>
      <c r="C117" s="37"/>
      <c r="D117" s="37" t="s">
        <v>16</v>
      </c>
      <c r="E117" s="24" t="s">
        <v>478</v>
      </c>
      <c r="F117" s="22" t="s">
        <v>479</v>
      </c>
      <c r="G117" s="22" t="s">
        <v>44</v>
      </c>
      <c r="H117" s="22" t="s">
        <v>21</v>
      </c>
      <c r="I117" s="22" t="s">
        <v>21</v>
      </c>
      <c r="J117" s="22" t="s">
        <v>418</v>
      </c>
      <c r="K117" s="23" t="s">
        <v>480</v>
      </c>
      <c r="L117" s="23" t="s">
        <v>481</v>
      </c>
      <c r="M117" s="48" t="s">
        <v>383</v>
      </c>
      <c r="N117" s="35" t="str">
        <f t="shared" si="6"/>
        <v>ufKotei6Mapping</v>
      </c>
    </row>
    <row r="118" spans="2:14" ht="56.25">
      <c r="B118" s="21"/>
      <c r="C118" s="37"/>
      <c r="D118" s="37" t="s">
        <v>16</v>
      </c>
      <c r="E118" s="24" t="s">
        <v>482</v>
      </c>
      <c r="F118" s="22" t="s">
        <v>483</v>
      </c>
      <c r="G118" s="22" t="s">
        <v>44</v>
      </c>
      <c r="H118" s="22" t="s">
        <v>21</v>
      </c>
      <c r="I118" s="22" t="s">
        <v>21</v>
      </c>
      <c r="J118" s="22" t="s">
        <v>418</v>
      </c>
      <c r="K118" s="23" t="s">
        <v>484</v>
      </c>
      <c r="L118" s="23" t="s">
        <v>485</v>
      </c>
      <c r="M118" s="48" t="s">
        <v>383</v>
      </c>
      <c r="N118" s="35" t="str">
        <f t="shared" si="6"/>
        <v>ufKotei7Mapping</v>
      </c>
    </row>
    <row r="119" spans="2:14" ht="56.25">
      <c r="B119" s="21"/>
      <c r="C119" s="37"/>
      <c r="D119" s="37" t="s">
        <v>16</v>
      </c>
      <c r="E119" s="24" t="s">
        <v>486</v>
      </c>
      <c r="F119" s="22" t="s">
        <v>487</v>
      </c>
      <c r="G119" s="22" t="s">
        <v>44</v>
      </c>
      <c r="H119" s="22" t="s">
        <v>21</v>
      </c>
      <c r="I119" s="22" t="s">
        <v>21</v>
      </c>
      <c r="J119" s="22" t="s">
        <v>418</v>
      </c>
      <c r="K119" s="23" t="s">
        <v>488</v>
      </c>
      <c r="L119" s="23" t="s">
        <v>489</v>
      </c>
      <c r="M119" s="48" t="s">
        <v>383</v>
      </c>
      <c r="N119" s="35" t="str">
        <f t="shared" si="6"/>
        <v>ufKotei8Mapping</v>
      </c>
    </row>
    <row r="120" spans="2:14" ht="56.25">
      <c r="B120" s="21"/>
      <c r="C120" s="37"/>
      <c r="D120" s="37" t="s">
        <v>16</v>
      </c>
      <c r="E120" s="24" t="s">
        <v>490</v>
      </c>
      <c r="F120" s="22" t="s">
        <v>491</v>
      </c>
      <c r="G120" s="22" t="s">
        <v>44</v>
      </c>
      <c r="H120" s="22" t="s">
        <v>21</v>
      </c>
      <c r="I120" s="22" t="s">
        <v>21</v>
      </c>
      <c r="J120" s="22" t="s">
        <v>418</v>
      </c>
      <c r="K120" s="23" t="s">
        <v>492</v>
      </c>
      <c r="L120" s="23" t="s">
        <v>493</v>
      </c>
      <c r="M120" s="48" t="s">
        <v>383</v>
      </c>
      <c r="N120" s="35" t="str">
        <f t="shared" si="6"/>
        <v>ufKotei9Mapping</v>
      </c>
    </row>
    <row r="121" spans="2:14" ht="56.25">
      <c r="B121" s="21"/>
      <c r="C121" s="37"/>
      <c r="D121" s="37" t="s">
        <v>16</v>
      </c>
      <c r="E121" s="24" t="s">
        <v>494</v>
      </c>
      <c r="F121" s="22" t="s">
        <v>495</v>
      </c>
      <c r="G121" s="22" t="s">
        <v>44</v>
      </c>
      <c r="H121" s="22" t="s">
        <v>21</v>
      </c>
      <c r="I121" s="22" t="s">
        <v>21</v>
      </c>
      <c r="J121" s="22" t="s">
        <v>418</v>
      </c>
      <c r="K121" s="23" t="s">
        <v>496</v>
      </c>
      <c r="L121" s="23" t="s">
        <v>497</v>
      </c>
      <c r="M121" s="48" t="s">
        <v>383</v>
      </c>
      <c r="N121" s="35" t="str">
        <f t="shared" si="6"/>
        <v>ufKotei10Mapping</v>
      </c>
    </row>
    <row r="122" spans="2:14" ht="45">
      <c r="B122" s="21"/>
      <c r="C122" s="37"/>
      <c r="D122" s="37" t="s">
        <v>16</v>
      </c>
      <c r="E122" s="24" t="s">
        <v>498</v>
      </c>
      <c r="F122" s="22" t="s">
        <v>499</v>
      </c>
      <c r="G122" s="22" t="s">
        <v>44</v>
      </c>
      <c r="H122" s="22" t="s">
        <v>21</v>
      </c>
      <c r="I122" s="22" t="s">
        <v>21</v>
      </c>
      <c r="J122" s="22" t="s">
        <v>60</v>
      </c>
      <c r="K122" s="23" t="s">
        <v>500</v>
      </c>
      <c r="L122" s="23" t="s">
        <v>501</v>
      </c>
      <c r="M122" s="48"/>
      <c r="N122" s="35" t="str">
        <f t="shared" si="6"/>
        <v>tenpuFileRenkei</v>
      </c>
    </row>
    <row r="123" spans="2:14" ht="33.75">
      <c r="B123" s="21"/>
      <c r="C123" s="37" t="s">
        <v>16</v>
      </c>
      <c r="D123" s="37" t="s">
        <v>16</v>
      </c>
      <c r="E123" s="24" t="s">
        <v>502</v>
      </c>
      <c r="F123" s="22" t="s">
        <v>503</v>
      </c>
      <c r="G123" s="22" t="s">
        <v>21</v>
      </c>
      <c r="H123" s="22" t="s">
        <v>21</v>
      </c>
      <c r="I123" s="22" t="s">
        <v>21</v>
      </c>
      <c r="J123" s="22" t="s">
        <v>113</v>
      </c>
      <c r="K123" s="23" t="s">
        <v>504</v>
      </c>
      <c r="L123" s="23" t="s">
        <v>505</v>
      </c>
      <c r="M123" s="48"/>
      <c r="N123" s="35" t="str">
        <f t="shared" si="6"/>
        <v>shiwakeSakuseiErrorAction</v>
      </c>
    </row>
    <row r="124" spans="2:14" ht="33.75">
      <c r="B124" s="21"/>
      <c r="C124" s="37" t="s">
        <v>16</v>
      </c>
      <c r="D124" s="37" t="s">
        <v>16</v>
      </c>
      <c r="E124" s="24" t="s">
        <v>506</v>
      </c>
      <c r="F124" s="22" t="s">
        <v>507</v>
      </c>
      <c r="G124" s="22" t="s">
        <v>44</v>
      </c>
      <c r="H124" s="22" t="s">
        <v>21</v>
      </c>
      <c r="I124" s="22" t="s">
        <v>21</v>
      </c>
      <c r="J124" s="22" t="s">
        <v>60</v>
      </c>
      <c r="K124" s="22" t="s">
        <v>508</v>
      </c>
      <c r="L124" s="23" t="s">
        <v>509</v>
      </c>
      <c r="M124" s="48"/>
      <c r="N124" s="35" t="str">
        <f t="shared" si="6"/>
        <v>shiwakeSakuseiSakihiduke</v>
      </c>
    </row>
    <row r="125" spans="2:14" ht="67.5">
      <c r="B125" s="21"/>
      <c r="C125" s="37" t="s">
        <v>16</v>
      </c>
      <c r="D125" s="37" t="s">
        <v>16</v>
      </c>
      <c r="E125" s="24" t="s">
        <v>510</v>
      </c>
      <c r="F125" s="22" t="s">
        <v>511</v>
      </c>
      <c r="G125" s="22" t="s">
        <v>38</v>
      </c>
      <c r="H125" s="22" t="s">
        <v>21</v>
      </c>
      <c r="I125" s="22" t="s">
        <v>21</v>
      </c>
      <c r="J125" s="22" t="s">
        <v>512</v>
      </c>
      <c r="K125" s="23" t="s">
        <v>513</v>
      </c>
      <c r="L125" s="23" t="s">
        <v>514</v>
      </c>
      <c r="M125" s="48"/>
      <c r="N125" s="35" t="str">
        <f t="shared" si="6"/>
        <v>shiwakeSakuseiHouhouA001</v>
      </c>
    </row>
    <row r="126" spans="2:14" ht="67.5">
      <c r="B126" s="21"/>
      <c r="C126" s="37" t="s">
        <v>16</v>
      </c>
      <c r="D126" s="37" t="s">
        <v>16</v>
      </c>
      <c r="E126" s="24" t="s">
        <v>515</v>
      </c>
      <c r="F126" s="22" t="s">
        <v>516</v>
      </c>
      <c r="G126" s="22" t="s">
        <v>38</v>
      </c>
      <c r="H126" s="22" t="s">
        <v>21</v>
      </c>
      <c r="I126" s="22" t="s">
        <v>21</v>
      </c>
      <c r="J126" s="22" t="s">
        <v>512</v>
      </c>
      <c r="K126" s="23" t="s">
        <v>517</v>
      </c>
      <c r="L126" s="23" t="s">
        <v>518</v>
      </c>
      <c r="M126" s="48"/>
      <c r="N126" s="35" t="str">
        <f t="shared" si="6"/>
        <v>shiwakeSakuseiHouhouA009</v>
      </c>
    </row>
    <row r="127" spans="2:14" ht="67.5">
      <c r="B127" s="21"/>
      <c r="C127" s="37" t="s">
        <v>16</v>
      </c>
      <c r="D127" s="37" t="s">
        <v>16</v>
      </c>
      <c r="E127" s="24" t="s">
        <v>519</v>
      </c>
      <c r="F127" s="22" t="s">
        <v>520</v>
      </c>
      <c r="G127" s="22" t="s">
        <v>38</v>
      </c>
      <c r="H127" s="22" t="s">
        <v>21</v>
      </c>
      <c r="I127" s="22" t="s">
        <v>21</v>
      </c>
      <c r="J127" s="22" t="s">
        <v>512</v>
      </c>
      <c r="K127" s="23" t="s">
        <v>521</v>
      </c>
      <c r="L127" s="23" t="s">
        <v>522</v>
      </c>
      <c r="M127" s="48"/>
      <c r="N127" s="35" t="str">
        <f t="shared" si="6"/>
        <v>shiwakeSakuseiHouhouA004</v>
      </c>
    </row>
    <row r="128" spans="2:14" ht="67.5">
      <c r="B128" s="25"/>
      <c r="C128" s="26" t="s">
        <v>16</v>
      </c>
      <c r="D128" s="26" t="s">
        <v>16</v>
      </c>
      <c r="E128" s="29" t="s">
        <v>523</v>
      </c>
      <c r="F128" s="27" t="s">
        <v>524</v>
      </c>
      <c r="G128" s="27" t="s">
        <v>38</v>
      </c>
      <c r="H128" s="27" t="s">
        <v>21</v>
      </c>
      <c r="I128" s="27" t="s">
        <v>21</v>
      </c>
      <c r="J128" s="27" t="s">
        <v>512</v>
      </c>
      <c r="K128" s="30" t="s">
        <v>525</v>
      </c>
      <c r="L128" s="30" t="s">
        <v>522</v>
      </c>
      <c r="M128" s="49"/>
      <c r="N128" s="35" t="str">
        <f t="shared" si="6"/>
        <v>shiwakeSakuseiHouhouA011</v>
      </c>
    </row>
    <row r="129" spans="2:14" ht="67.5">
      <c r="B129" s="21"/>
      <c r="C129" s="37" t="s">
        <v>16</v>
      </c>
      <c r="D129" s="37" t="s">
        <v>16</v>
      </c>
      <c r="E129" s="24" t="s">
        <v>526</v>
      </c>
      <c r="F129" s="22" t="s">
        <v>527</v>
      </c>
      <c r="G129" s="22" t="s">
        <v>38</v>
      </c>
      <c r="H129" s="22" t="s">
        <v>21</v>
      </c>
      <c r="I129" s="22" t="s">
        <v>21</v>
      </c>
      <c r="J129" s="22" t="s">
        <v>512</v>
      </c>
      <c r="K129" s="23" t="s">
        <v>528</v>
      </c>
      <c r="L129" s="23" t="s">
        <v>529</v>
      </c>
      <c r="M129" s="48"/>
      <c r="N129" s="35" t="str">
        <f t="shared" si="6"/>
        <v>shiwakeSakuseiHouhouA010</v>
      </c>
    </row>
    <row r="130" spans="2:14" ht="33.75">
      <c r="B130" s="21"/>
      <c r="C130" s="37" t="s">
        <v>16</v>
      </c>
      <c r="D130" s="37" t="s">
        <v>16</v>
      </c>
      <c r="E130" s="24" t="s">
        <v>530</v>
      </c>
      <c r="F130" s="22" t="s">
        <v>531</v>
      </c>
      <c r="G130" s="22" t="s">
        <v>21</v>
      </c>
      <c r="H130" s="22" t="s">
        <v>21</v>
      </c>
      <c r="I130" s="22" t="s">
        <v>21</v>
      </c>
      <c r="J130" s="22" t="s">
        <v>60</v>
      </c>
      <c r="K130" s="23" t="s">
        <v>532</v>
      </c>
      <c r="L130" s="23" t="s">
        <v>533</v>
      </c>
      <c r="M130" s="35"/>
      <c r="N130" s="35" t="str">
        <f t="shared" si="6"/>
        <v>zankinShiwakeSakuseiUmuA001</v>
      </c>
    </row>
    <row r="131" spans="2:14" ht="33.75">
      <c r="B131" s="21"/>
      <c r="C131" s="37" t="s">
        <v>16</v>
      </c>
      <c r="D131" s="37" t="s">
        <v>16</v>
      </c>
      <c r="E131" s="24" t="s">
        <v>534</v>
      </c>
      <c r="F131" s="22" t="s">
        <v>535</v>
      </c>
      <c r="G131" s="22" t="s">
        <v>21</v>
      </c>
      <c r="H131" s="22" t="s">
        <v>21</v>
      </c>
      <c r="I131" s="22" t="s">
        <v>21</v>
      </c>
      <c r="J131" s="22" t="s">
        <v>60</v>
      </c>
      <c r="K131" s="23" t="s">
        <v>536</v>
      </c>
      <c r="L131" s="23" t="s">
        <v>533</v>
      </c>
      <c r="M131" s="35"/>
      <c r="N131" s="35" t="str">
        <f t="shared" si="6"/>
        <v>zankinShiwakeSakuseiUmuA004</v>
      </c>
    </row>
    <row r="132" spans="2:14" ht="33.75">
      <c r="B132" s="25"/>
      <c r="C132" s="26" t="s">
        <v>16</v>
      </c>
      <c r="D132" s="26" t="s">
        <v>16</v>
      </c>
      <c r="E132" s="29" t="s">
        <v>537</v>
      </c>
      <c r="F132" s="27" t="s">
        <v>538</v>
      </c>
      <c r="G132" s="27" t="s">
        <v>21</v>
      </c>
      <c r="H132" s="27" t="s">
        <v>21</v>
      </c>
      <c r="I132" s="27" t="s">
        <v>21</v>
      </c>
      <c r="J132" s="27" t="s">
        <v>60</v>
      </c>
      <c r="K132" s="30" t="s">
        <v>539</v>
      </c>
      <c r="L132" s="30" t="s">
        <v>533</v>
      </c>
      <c r="M132" s="52"/>
      <c r="N132" s="35" t="str">
        <f t="shared" si="6"/>
        <v>zankinShiwakeSakuseiUmuA011</v>
      </c>
    </row>
    <row r="133" spans="2:14" ht="45">
      <c r="B133" s="25"/>
      <c r="C133" s="26" t="s">
        <v>16</v>
      </c>
      <c r="D133" s="26" t="s">
        <v>16</v>
      </c>
      <c r="E133" s="29" t="s">
        <v>540</v>
      </c>
      <c r="F133" s="27" t="s">
        <v>541</v>
      </c>
      <c r="G133" s="27" t="s">
        <v>21</v>
      </c>
      <c r="H133" s="27" t="s">
        <v>21</v>
      </c>
      <c r="I133" s="27" t="s">
        <v>21</v>
      </c>
      <c r="J133" s="27" t="s">
        <v>113</v>
      </c>
      <c r="K133" s="30" t="s">
        <v>542</v>
      </c>
      <c r="L133" s="30" t="s">
        <v>543</v>
      </c>
      <c r="M133" s="52"/>
      <c r="N133" s="35" t="str">
        <f t="shared" si="6"/>
        <v>zankinShiwakeSakuseiHiA001</v>
      </c>
    </row>
    <row r="134" spans="2:14" ht="45">
      <c r="B134" s="25"/>
      <c r="C134" s="26" t="s">
        <v>16</v>
      </c>
      <c r="D134" s="26" t="s">
        <v>16</v>
      </c>
      <c r="E134" s="24" t="s">
        <v>544</v>
      </c>
      <c r="F134" s="27" t="s">
        <v>545</v>
      </c>
      <c r="G134" s="27" t="s">
        <v>21</v>
      </c>
      <c r="H134" s="27" t="s">
        <v>21</v>
      </c>
      <c r="I134" s="27" t="s">
        <v>21</v>
      </c>
      <c r="J134" s="27" t="s">
        <v>113</v>
      </c>
      <c r="K134" s="30" t="s">
        <v>546</v>
      </c>
      <c r="L134" s="30" t="s">
        <v>547</v>
      </c>
      <c r="M134" s="52"/>
      <c r="N134" s="35" t="str">
        <f t="shared" si="6"/>
        <v>zankinShiwakeSakuseiHiA004</v>
      </c>
    </row>
    <row r="135" spans="2:14" ht="45">
      <c r="B135" s="25"/>
      <c r="C135" s="26" t="s">
        <v>16</v>
      </c>
      <c r="D135" s="26" t="s">
        <v>16</v>
      </c>
      <c r="E135" s="29" t="s">
        <v>548</v>
      </c>
      <c r="F135" s="27" t="s">
        <v>549</v>
      </c>
      <c r="G135" s="27" t="s">
        <v>21</v>
      </c>
      <c r="H135" s="27" t="s">
        <v>21</v>
      </c>
      <c r="I135" s="27" t="s">
        <v>21</v>
      </c>
      <c r="J135" s="27" t="s">
        <v>113</v>
      </c>
      <c r="K135" s="30" t="s">
        <v>550</v>
      </c>
      <c r="L135" s="30" t="s">
        <v>551</v>
      </c>
      <c r="M135" s="52"/>
      <c r="N135" s="35" t="str">
        <f t="shared" si="6"/>
        <v>zankinShiwakeSakuseiHiA011</v>
      </c>
    </row>
    <row r="136" spans="2:14" ht="22.5">
      <c r="B136" s="21"/>
      <c r="C136" s="37" t="s">
        <v>16</v>
      </c>
      <c r="D136" s="37" t="s">
        <v>16</v>
      </c>
      <c r="E136" s="24" t="s">
        <v>552</v>
      </c>
      <c r="F136" s="22" t="s">
        <v>553</v>
      </c>
      <c r="G136" s="22"/>
      <c r="H136" s="22" t="s">
        <v>21</v>
      </c>
      <c r="I136" s="22" t="s">
        <v>21</v>
      </c>
      <c r="J136" s="22" t="s">
        <v>554</v>
      </c>
      <c r="K136" s="23" t="s">
        <v>555</v>
      </c>
      <c r="L136" s="23" t="s">
        <v>556</v>
      </c>
      <c r="M136" s="48"/>
      <c r="N136" s="35" t="str">
        <f t="shared" si="6"/>
        <v>denpyouSerialNoStart</v>
      </c>
    </row>
    <row r="137" spans="2:14" ht="22.5">
      <c r="B137" s="31"/>
      <c r="C137" s="37" t="s">
        <v>16</v>
      </c>
      <c r="D137" s="37" t="s">
        <v>16</v>
      </c>
      <c r="E137" s="24" t="s">
        <v>557</v>
      </c>
      <c r="F137" s="22" t="s">
        <v>558</v>
      </c>
      <c r="G137" s="22"/>
      <c r="H137" s="22" t="s">
        <v>21</v>
      </c>
      <c r="I137" s="22" t="s">
        <v>21</v>
      </c>
      <c r="J137" s="22" t="s">
        <v>559</v>
      </c>
      <c r="K137" s="23" t="s">
        <v>560</v>
      </c>
      <c r="L137" s="23" t="s">
        <v>561</v>
      </c>
      <c r="M137" s="48"/>
      <c r="N137" s="35" t="str">
        <f t="shared" si="6"/>
        <v>denpyouSerialNoEnd</v>
      </c>
    </row>
    <row r="138" spans="2:14" ht="33.75">
      <c r="B138" s="28" t="s">
        <v>562</v>
      </c>
      <c r="C138" s="37" t="s">
        <v>16</v>
      </c>
      <c r="D138" s="37" t="s">
        <v>16</v>
      </c>
      <c r="E138" s="24" t="s">
        <v>563</v>
      </c>
      <c r="F138" s="22" t="s">
        <v>564</v>
      </c>
      <c r="G138" s="22" t="s">
        <v>21</v>
      </c>
      <c r="H138" s="22" t="s">
        <v>21</v>
      </c>
      <c r="I138" s="22" t="s">
        <v>21</v>
      </c>
      <c r="J138" s="22" t="s">
        <v>113</v>
      </c>
      <c r="K138" s="22" t="s">
        <v>565</v>
      </c>
      <c r="L138" s="23" t="s">
        <v>566</v>
      </c>
      <c r="M138" s="48"/>
      <c r="N138" s="35" t="str">
        <f t="shared" si="6"/>
        <v>denpyouSakuseiTaniA001</v>
      </c>
    </row>
    <row r="139" spans="2:14" ht="33.75">
      <c r="B139" s="21"/>
      <c r="C139" s="37" t="s">
        <v>16</v>
      </c>
      <c r="D139" s="37" t="s">
        <v>16</v>
      </c>
      <c r="E139" s="24" t="s">
        <v>567</v>
      </c>
      <c r="F139" s="22" t="s">
        <v>568</v>
      </c>
      <c r="G139" s="22" t="s">
        <v>21</v>
      </c>
      <c r="H139" s="22" t="s">
        <v>21</v>
      </c>
      <c r="I139" s="22" t="s">
        <v>21</v>
      </c>
      <c r="J139" s="22" t="s">
        <v>113</v>
      </c>
      <c r="K139" s="23" t="s">
        <v>569</v>
      </c>
      <c r="L139" s="23" t="s">
        <v>566</v>
      </c>
      <c r="M139" s="48"/>
      <c r="N139" s="35" t="str">
        <f t="shared" si="6"/>
        <v>denpyouSakuseiTaniA002</v>
      </c>
    </row>
    <row r="140" spans="2:14" ht="33.75">
      <c r="B140" s="21"/>
      <c r="C140" s="37" t="s">
        <v>16</v>
      </c>
      <c r="D140" s="37" t="s">
        <v>16</v>
      </c>
      <c r="E140" s="24" t="s">
        <v>570</v>
      </c>
      <c r="F140" s="22" t="s">
        <v>571</v>
      </c>
      <c r="G140" s="22" t="s">
        <v>21</v>
      </c>
      <c r="H140" s="22" t="s">
        <v>21</v>
      </c>
      <c r="I140" s="22" t="s">
        <v>21</v>
      </c>
      <c r="J140" s="22" t="s">
        <v>113</v>
      </c>
      <c r="K140" s="23" t="s">
        <v>572</v>
      </c>
      <c r="L140" s="23" t="s">
        <v>566</v>
      </c>
      <c r="M140" s="48"/>
      <c r="N140" s="35" t="str">
        <f t="shared" si="6"/>
        <v>denpyouSakuseiTaniA003</v>
      </c>
    </row>
    <row r="141" spans="2:14" ht="33.75">
      <c r="B141" s="21"/>
      <c r="C141" s="37" t="s">
        <v>16</v>
      </c>
      <c r="D141" s="37" t="s">
        <v>16</v>
      </c>
      <c r="E141" s="24" t="s">
        <v>573</v>
      </c>
      <c r="F141" s="22" t="s">
        <v>574</v>
      </c>
      <c r="G141" s="22" t="s">
        <v>21</v>
      </c>
      <c r="H141" s="22" t="s">
        <v>21</v>
      </c>
      <c r="I141" s="22" t="s">
        <v>21</v>
      </c>
      <c r="J141" s="22" t="s">
        <v>113</v>
      </c>
      <c r="K141" s="23" t="s">
        <v>575</v>
      </c>
      <c r="L141" s="23" t="s">
        <v>566</v>
      </c>
      <c r="M141" s="48"/>
      <c r="N141" s="35" t="str">
        <f t="shared" si="6"/>
        <v>denpyouSakuseiTaniA013</v>
      </c>
    </row>
    <row r="142" spans="2:14" ht="33.75">
      <c r="B142" s="21"/>
      <c r="C142" s="37" t="s">
        <v>16</v>
      </c>
      <c r="D142" s="37" t="s">
        <v>16</v>
      </c>
      <c r="E142" s="24" t="s">
        <v>576</v>
      </c>
      <c r="F142" s="22" t="s">
        <v>577</v>
      </c>
      <c r="G142" s="22" t="s">
        <v>21</v>
      </c>
      <c r="H142" s="22" t="s">
        <v>21</v>
      </c>
      <c r="I142" s="22" t="s">
        <v>21</v>
      </c>
      <c r="J142" s="22" t="s">
        <v>113</v>
      </c>
      <c r="K142" s="23" t="s">
        <v>578</v>
      </c>
      <c r="L142" s="23" t="s">
        <v>566</v>
      </c>
      <c r="M142" s="48"/>
      <c r="N142" s="35" t="str">
        <f t="shared" si="6"/>
        <v>denpyouSakuseiTaniA009</v>
      </c>
    </row>
    <row r="143" spans="2:14" ht="33.75">
      <c r="B143" s="21"/>
      <c r="C143" s="37" t="s">
        <v>16</v>
      </c>
      <c r="D143" s="37" t="s">
        <v>16</v>
      </c>
      <c r="E143" s="24" t="s">
        <v>579</v>
      </c>
      <c r="F143" s="22" t="s">
        <v>580</v>
      </c>
      <c r="G143" s="22" t="s">
        <v>21</v>
      </c>
      <c r="H143" s="22" t="s">
        <v>21</v>
      </c>
      <c r="I143" s="22" t="s">
        <v>21</v>
      </c>
      <c r="J143" s="22" t="s">
        <v>113</v>
      </c>
      <c r="K143" s="23" t="s">
        <v>581</v>
      </c>
      <c r="L143" s="23" t="s">
        <v>566</v>
      </c>
      <c r="M143" s="48"/>
      <c r="N143" s="35" t="str">
        <f t="shared" si="6"/>
        <v>denpyouSakuseiTaniA004</v>
      </c>
    </row>
    <row r="144" spans="2:14" ht="33.75">
      <c r="B144" s="21"/>
      <c r="C144" s="37" t="s">
        <v>16</v>
      </c>
      <c r="D144" s="37" t="s">
        <v>16</v>
      </c>
      <c r="E144" s="24" t="s">
        <v>582</v>
      </c>
      <c r="F144" s="22" t="s">
        <v>583</v>
      </c>
      <c r="G144" s="22" t="s">
        <v>21</v>
      </c>
      <c r="H144" s="22" t="s">
        <v>21</v>
      </c>
      <c r="I144" s="22" t="s">
        <v>21</v>
      </c>
      <c r="J144" s="22" t="s">
        <v>113</v>
      </c>
      <c r="K144" s="23" t="s">
        <v>584</v>
      </c>
      <c r="L144" s="23" t="s">
        <v>566</v>
      </c>
      <c r="M144" s="48"/>
      <c r="N144" s="35" t="str">
        <f t="shared" si="6"/>
        <v>denpyouSakuseiTaniA005</v>
      </c>
    </row>
    <row r="145" spans="2:14" ht="33.75">
      <c r="B145" s="25"/>
      <c r="C145" s="26" t="s">
        <v>16</v>
      </c>
      <c r="D145" s="26" t="s">
        <v>16</v>
      </c>
      <c r="E145" s="29" t="s">
        <v>585</v>
      </c>
      <c r="F145" s="27" t="s">
        <v>586</v>
      </c>
      <c r="G145" s="27" t="s">
        <v>21</v>
      </c>
      <c r="H145" s="27" t="s">
        <v>21</v>
      </c>
      <c r="I145" s="27" t="s">
        <v>21</v>
      </c>
      <c r="J145" s="27" t="s">
        <v>113</v>
      </c>
      <c r="K145" s="30" t="s">
        <v>587</v>
      </c>
      <c r="L145" s="30" t="s">
        <v>566</v>
      </c>
      <c r="M145" s="49"/>
      <c r="N145" s="35" t="str">
        <f t="shared" si="6"/>
        <v>denpyouSakuseiTaniA011</v>
      </c>
    </row>
    <row r="146" spans="2:14" ht="33.75">
      <c r="B146" s="25"/>
      <c r="C146" s="26" t="s">
        <v>16</v>
      </c>
      <c r="D146" s="26" t="s">
        <v>16</v>
      </c>
      <c r="E146" s="29" t="s">
        <v>588</v>
      </c>
      <c r="F146" s="27" t="s">
        <v>589</v>
      </c>
      <c r="G146" s="27" t="s">
        <v>21</v>
      </c>
      <c r="H146" s="27" t="s">
        <v>21</v>
      </c>
      <c r="I146" s="27" t="s">
        <v>21</v>
      </c>
      <c r="J146" s="27" t="s">
        <v>113</v>
      </c>
      <c r="K146" s="30" t="s">
        <v>590</v>
      </c>
      <c r="L146" s="30" t="s">
        <v>566</v>
      </c>
      <c r="M146" s="49"/>
      <c r="N146" s="35" t="str">
        <f t="shared" ref="N146:N226" si="7">LOWER(LEFT(K146,1))&amp;MID(SUBSTITUTE(PROPER(K146),"_",""),2,LEN(K146))</f>
        <v>denpyouSakuseiTaniA012</v>
      </c>
    </row>
    <row r="147" spans="2:14" ht="33.75">
      <c r="B147" s="21"/>
      <c r="C147" s="37" t="s">
        <v>16</v>
      </c>
      <c r="D147" s="37" t="s">
        <v>16</v>
      </c>
      <c r="E147" s="24" t="s">
        <v>591</v>
      </c>
      <c r="F147" s="22" t="s">
        <v>592</v>
      </c>
      <c r="G147" s="22" t="s">
        <v>21</v>
      </c>
      <c r="H147" s="22" t="s">
        <v>21</v>
      </c>
      <c r="I147" s="22" t="s">
        <v>21</v>
      </c>
      <c r="J147" s="22" t="s">
        <v>113</v>
      </c>
      <c r="K147" s="23" t="s">
        <v>593</v>
      </c>
      <c r="L147" s="23" t="s">
        <v>566</v>
      </c>
      <c r="M147" s="48"/>
      <c r="N147" s="35" t="str">
        <f t="shared" si="7"/>
        <v>denpyouSakuseiTaniA010</v>
      </c>
    </row>
    <row r="148" spans="2:14" ht="33.75">
      <c r="B148" s="21"/>
      <c r="C148" s="37" t="s">
        <v>16</v>
      </c>
      <c r="D148" s="37" t="s">
        <v>16</v>
      </c>
      <c r="E148" s="24" t="s">
        <v>594</v>
      </c>
      <c r="F148" s="22" t="s">
        <v>595</v>
      </c>
      <c r="G148" s="22" t="s">
        <v>21</v>
      </c>
      <c r="H148" s="22" t="s">
        <v>21</v>
      </c>
      <c r="I148" s="22" t="s">
        <v>21</v>
      </c>
      <c r="J148" s="22" t="s">
        <v>113</v>
      </c>
      <c r="K148" s="23" t="s">
        <v>596</v>
      </c>
      <c r="L148" s="23" t="s">
        <v>566</v>
      </c>
      <c r="M148" s="48"/>
      <c r="N148" s="35" t="str">
        <f t="shared" si="7"/>
        <v>denpyouSakuseiTaniA006</v>
      </c>
    </row>
    <row r="149" spans="2:14" ht="33.75">
      <c r="B149" s="21"/>
      <c r="C149" s="37" t="s">
        <v>16</v>
      </c>
      <c r="D149" s="37" t="s">
        <v>16</v>
      </c>
      <c r="E149" s="24" t="s">
        <v>597</v>
      </c>
      <c r="F149" s="22" t="s">
        <v>598</v>
      </c>
      <c r="G149" s="22" t="s">
        <v>21</v>
      </c>
      <c r="H149" s="22" t="s">
        <v>21</v>
      </c>
      <c r="I149" s="22" t="s">
        <v>21</v>
      </c>
      <c r="J149" s="22" t="s">
        <v>113</v>
      </c>
      <c r="K149" s="23" t="s">
        <v>599</v>
      </c>
      <c r="L149" s="23" t="s">
        <v>566</v>
      </c>
      <c r="M149" s="48"/>
      <c r="N149" s="35" t="str">
        <f t="shared" si="7"/>
        <v>denpyouSakuseiTaniA007</v>
      </c>
    </row>
    <row r="150" spans="2:14" ht="33.75">
      <c r="B150" s="21"/>
      <c r="C150" s="37" t="s">
        <v>16</v>
      </c>
      <c r="D150" s="37" t="s">
        <v>16</v>
      </c>
      <c r="E150" s="24" t="s">
        <v>600</v>
      </c>
      <c r="F150" s="22" t="s">
        <v>601</v>
      </c>
      <c r="G150" s="22" t="s">
        <v>21</v>
      </c>
      <c r="H150" s="22" t="s">
        <v>21</v>
      </c>
      <c r="I150" s="22" t="s">
        <v>21</v>
      </c>
      <c r="J150" s="22" t="s">
        <v>113</v>
      </c>
      <c r="K150" s="23" t="s">
        <v>602</v>
      </c>
      <c r="L150" s="23" t="s">
        <v>566</v>
      </c>
      <c r="M150" s="48"/>
      <c r="N150" s="35" t="str">
        <f t="shared" si="7"/>
        <v>denpyouSakuseiTaniA008</v>
      </c>
    </row>
    <row r="151" spans="2:14" ht="101.25">
      <c r="B151" s="28" t="s">
        <v>603</v>
      </c>
      <c r="C151" s="37" t="s">
        <v>16</v>
      </c>
      <c r="D151" s="37" t="s">
        <v>16</v>
      </c>
      <c r="E151" s="38" t="s">
        <v>604</v>
      </c>
      <c r="F151" s="39" t="s">
        <v>605</v>
      </c>
      <c r="G151" s="40" t="s">
        <v>606</v>
      </c>
      <c r="H151" s="22" t="s">
        <v>139</v>
      </c>
      <c r="I151" s="22" t="s">
        <v>139</v>
      </c>
      <c r="J151" s="22"/>
      <c r="K151" s="45" t="s">
        <v>607</v>
      </c>
      <c r="L151" s="110" t="s">
        <v>1419</v>
      </c>
      <c r="M151" s="48"/>
      <c r="N151" s="35" t="str">
        <f t="shared" si="7"/>
        <v>shiwakeTekiyouNaiyouA001</v>
      </c>
    </row>
    <row r="152" spans="2:14" ht="101.25">
      <c r="B152" s="21"/>
      <c r="C152" s="37" t="s">
        <v>16</v>
      </c>
      <c r="D152" s="37" t="s">
        <v>16</v>
      </c>
      <c r="E152" s="41" t="s">
        <v>608</v>
      </c>
      <c r="F152" s="42" t="s">
        <v>609</v>
      </c>
      <c r="G152" s="43" t="s">
        <v>610</v>
      </c>
      <c r="H152" s="22" t="s">
        <v>139</v>
      </c>
      <c r="I152" s="22" t="s">
        <v>139</v>
      </c>
      <c r="J152" s="22"/>
      <c r="K152" s="45" t="s">
        <v>611</v>
      </c>
      <c r="L152" s="46" t="s">
        <v>612</v>
      </c>
      <c r="M152" s="48"/>
      <c r="N152" s="35" t="str">
        <f t="shared" si="7"/>
        <v>shiwakeTekiyouNaiyouA0011</v>
      </c>
    </row>
    <row r="153" spans="2:14" ht="22.5">
      <c r="B153" s="21"/>
      <c r="C153" s="37" t="s">
        <v>16</v>
      </c>
      <c r="D153" s="37" t="s">
        <v>16</v>
      </c>
      <c r="E153" s="41" t="s">
        <v>613</v>
      </c>
      <c r="F153" s="42" t="s">
        <v>614</v>
      </c>
      <c r="G153" s="43" t="s">
        <v>615</v>
      </c>
      <c r="H153" s="22" t="s">
        <v>139</v>
      </c>
      <c r="I153" s="22" t="s">
        <v>139</v>
      </c>
      <c r="J153" s="22"/>
      <c r="K153" s="45" t="s">
        <v>616</v>
      </c>
      <c r="L153" s="46" t="s">
        <v>617</v>
      </c>
      <c r="M153" s="48"/>
      <c r="N153" s="35" t="str">
        <f t="shared" si="7"/>
        <v>shiwakeTekiyouNaiyouA0012</v>
      </c>
    </row>
    <row r="154" spans="2:14" ht="101.25">
      <c r="B154" s="21"/>
      <c r="C154" s="37" t="s">
        <v>16</v>
      </c>
      <c r="D154" s="37" t="s">
        <v>16</v>
      </c>
      <c r="E154" s="41" t="s">
        <v>618</v>
      </c>
      <c r="F154" s="42" t="s">
        <v>619</v>
      </c>
      <c r="G154" s="43" t="s">
        <v>620</v>
      </c>
      <c r="H154" s="22" t="s">
        <v>139</v>
      </c>
      <c r="I154" s="22" t="s">
        <v>139</v>
      </c>
      <c r="J154" s="22"/>
      <c r="K154" s="45" t="s">
        <v>621</v>
      </c>
      <c r="L154" s="46" t="s">
        <v>612</v>
      </c>
      <c r="M154" s="48"/>
      <c r="N154" s="35" t="str">
        <f t="shared" si="7"/>
        <v>shiwakeTekiyouNaiyouA0013</v>
      </c>
    </row>
    <row r="155" spans="2:14" ht="33.75">
      <c r="B155" s="21"/>
      <c r="C155" s="37" t="s">
        <v>16</v>
      </c>
      <c r="D155" s="37" t="s">
        <v>16</v>
      </c>
      <c r="E155" s="44" t="s">
        <v>622</v>
      </c>
      <c r="F155" s="39" t="s">
        <v>623</v>
      </c>
      <c r="G155" s="40" t="s">
        <v>624</v>
      </c>
      <c r="H155" s="22" t="s">
        <v>139</v>
      </c>
      <c r="I155" s="22" t="s">
        <v>139</v>
      </c>
      <c r="J155" s="22"/>
      <c r="K155" s="45" t="s">
        <v>625</v>
      </c>
      <c r="L155" s="46" t="s">
        <v>626</v>
      </c>
      <c r="M155" s="48"/>
      <c r="N155" s="35" t="str">
        <f t="shared" si="7"/>
        <v>shiwakeTekiyouNaiyouA002</v>
      </c>
    </row>
    <row r="156" spans="2:14" ht="78.75">
      <c r="B156" s="21"/>
      <c r="C156" s="37" t="s">
        <v>16</v>
      </c>
      <c r="D156" s="37" t="s">
        <v>16</v>
      </c>
      <c r="E156" s="44" t="s">
        <v>627</v>
      </c>
      <c r="F156" s="39" t="s">
        <v>628</v>
      </c>
      <c r="G156" s="40" t="s">
        <v>624</v>
      </c>
      <c r="H156" s="22" t="s">
        <v>139</v>
      </c>
      <c r="I156" s="22" t="s">
        <v>139</v>
      </c>
      <c r="J156" s="22"/>
      <c r="K156" s="45" t="s">
        <v>629</v>
      </c>
      <c r="L156" s="46" t="s">
        <v>630</v>
      </c>
      <c r="M156" s="48"/>
      <c r="N156" s="35" t="str">
        <f t="shared" si="7"/>
        <v>shiwakeTekiyouNaiyouA003</v>
      </c>
    </row>
    <row r="157" spans="2:14" ht="45">
      <c r="B157" s="21"/>
      <c r="C157" s="37" t="s">
        <v>16</v>
      </c>
      <c r="D157" s="37" t="s">
        <v>16</v>
      </c>
      <c r="E157" s="44" t="s">
        <v>573</v>
      </c>
      <c r="F157" s="39" t="s">
        <v>631</v>
      </c>
      <c r="G157" s="40" t="s">
        <v>624</v>
      </c>
      <c r="H157" s="22" t="s">
        <v>139</v>
      </c>
      <c r="I157" s="22" t="s">
        <v>139</v>
      </c>
      <c r="J157" s="22"/>
      <c r="K157" s="45" t="s">
        <v>632</v>
      </c>
      <c r="L157" s="46" t="s">
        <v>633</v>
      </c>
      <c r="M157" s="48"/>
      <c r="N157" s="35" t="str">
        <f t="shared" si="7"/>
        <v>shiwakeTekiyouNaiyouA013</v>
      </c>
    </row>
    <row r="158" spans="2:14" ht="67.5">
      <c r="B158" s="21"/>
      <c r="C158" s="37" t="s">
        <v>16</v>
      </c>
      <c r="D158" s="37" t="s">
        <v>16</v>
      </c>
      <c r="E158" s="44" t="s">
        <v>634</v>
      </c>
      <c r="F158" s="39" t="s">
        <v>635</v>
      </c>
      <c r="G158" s="40" t="s">
        <v>636</v>
      </c>
      <c r="H158" s="22" t="s">
        <v>139</v>
      </c>
      <c r="I158" s="22" t="s">
        <v>139</v>
      </c>
      <c r="J158" s="22"/>
      <c r="K158" s="45" t="s">
        <v>637</v>
      </c>
      <c r="L158" s="46" t="s">
        <v>638</v>
      </c>
      <c r="M158" s="48"/>
      <c r="N158" s="35" t="str">
        <f t="shared" si="7"/>
        <v>shiwakeTekiyouNaiyouA004</v>
      </c>
    </row>
    <row r="159" spans="2:14" ht="67.5">
      <c r="B159" s="21"/>
      <c r="C159" s="37" t="s">
        <v>16</v>
      </c>
      <c r="D159" s="37" t="s">
        <v>16</v>
      </c>
      <c r="E159" s="41" t="s">
        <v>639</v>
      </c>
      <c r="F159" s="42" t="s">
        <v>640</v>
      </c>
      <c r="G159" s="43" t="s">
        <v>641</v>
      </c>
      <c r="H159" s="22" t="s">
        <v>139</v>
      </c>
      <c r="I159" s="22" t="s">
        <v>139</v>
      </c>
      <c r="J159" s="22"/>
      <c r="K159" s="45" t="s">
        <v>642</v>
      </c>
      <c r="L159" s="46" t="s">
        <v>638</v>
      </c>
      <c r="M159" s="48"/>
      <c r="N159" s="35" t="str">
        <f t="shared" si="7"/>
        <v>shiwakeTekiyouNaiyouA0041</v>
      </c>
    </row>
    <row r="160" spans="2:14" ht="22.5">
      <c r="B160" s="21"/>
      <c r="C160" s="37" t="s">
        <v>16</v>
      </c>
      <c r="D160" s="37" t="s">
        <v>16</v>
      </c>
      <c r="E160" s="41" t="s">
        <v>643</v>
      </c>
      <c r="F160" s="42" t="s">
        <v>644</v>
      </c>
      <c r="G160" s="43" t="s">
        <v>645</v>
      </c>
      <c r="H160" s="22" t="s">
        <v>139</v>
      </c>
      <c r="I160" s="22" t="s">
        <v>139</v>
      </c>
      <c r="J160" s="22"/>
      <c r="K160" s="45" t="s">
        <v>646</v>
      </c>
      <c r="L160" s="46" t="s">
        <v>617</v>
      </c>
      <c r="M160" s="48"/>
      <c r="N160" s="35" t="str">
        <f t="shared" si="7"/>
        <v>shiwakeTekiyouNaiyouA0042</v>
      </c>
    </row>
    <row r="161" spans="2:14" ht="56.25">
      <c r="B161" s="21"/>
      <c r="C161" s="37" t="s">
        <v>16</v>
      </c>
      <c r="D161" s="37" t="s">
        <v>16</v>
      </c>
      <c r="E161" s="41" t="s">
        <v>647</v>
      </c>
      <c r="F161" s="42" t="s">
        <v>648</v>
      </c>
      <c r="G161" s="43" t="s">
        <v>649</v>
      </c>
      <c r="H161" s="22" t="s">
        <v>139</v>
      </c>
      <c r="I161" s="22" t="s">
        <v>139</v>
      </c>
      <c r="J161" s="22"/>
      <c r="K161" s="45" t="s">
        <v>650</v>
      </c>
      <c r="L161" s="46" t="s">
        <v>651</v>
      </c>
      <c r="M161" s="48"/>
      <c r="N161" s="35" t="str">
        <f t="shared" si="7"/>
        <v>shiwakeTekiyouNaiyouA0043</v>
      </c>
    </row>
    <row r="162" spans="2:14" ht="45">
      <c r="B162" s="21"/>
      <c r="C162" s="37" t="s">
        <v>16</v>
      </c>
      <c r="D162" s="37" t="s">
        <v>16</v>
      </c>
      <c r="E162" s="44" t="s">
        <v>582</v>
      </c>
      <c r="F162" s="39" t="s">
        <v>652</v>
      </c>
      <c r="G162" s="40" t="s">
        <v>624</v>
      </c>
      <c r="H162" s="22" t="s">
        <v>139</v>
      </c>
      <c r="I162" s="22" t="s">
        <v>139</v>
      </c>
      <c r="J162" s="22"/>
      <c r="K162" s="45" t="s">
        <v>653</v>
      </c>
      <c r="L162" s="46" t="s">
        <v>654</v>
      </c>
      <c r="M162" s="48"/>
      <c r="N162" s="35" t="str">
        <f t="shared" si="7"/>
        <v>shiwakeTekiyouNaiyouA005</v>
      </c>
    </row>
    <row r="163" spans="2:14" ht="67.5">
      <c r="B163" s="25"/>
      <c r="C163" s="26" t="s">
        <v>16</v>
      </c>
      <c r="D163" s="26" t="s">
        <v>16</v>
      </c>
      <c r="E163" s="44" t="s">
        <v>655</v>
      </c>
      <c r="F163" s="39" t="s">
        <v>656</v>
      </c>
      <c r="G163" s="40" t="s">
        <v>636</v>
      </c>
      <c r="H163" s="27" t="s">
        <v>139</v>
      </c>
      <c r="I163" s="27" t="s">
        <v>139</v>
      </c>
      <c r="J163" s="27"/>
      <c r="K163" s="45" t="s">
        <v>657</v>
      </c>
      <c r="L163" s="46" t="s">
        <v>638</v>
      </c>
      <c r="M163" s="49"/>
      <c r="N163" s="35" t="str">
        <f t="shared" si="7"/>
        <v>shiwakeTekiyouNaiyouA011</v>
      </c>
    </row>
    <row r="164" spans="2:14" ht="67.5">
      <c r="B164" s="25"/>
      <c r="C164" s="26" t="s">
        <v>16</v>
      </c>
      <c r="D164" s="26" t="s">
        <v>16</v>
      </c>
      <c r="E164" s="41" t="s">
        <v>658</v>
      </c>
      <c r="F164" s="42" t="s">
        <v>659</v>
      </c>
      <c r="G164" s="43" t="s">
        <v>660</v>
      </c>
      <c r="H164" s="27" t="s">
        <v>139</v>
      </c>
      <c r="I164" s="27" t="s">
        <v>139</v>
      </c>
      <c r="J164" s="27"/>
      <c r="K164" s="45" t="s">
        <v>661</v>
      </c>
      <c r="L164" s="46" t="s">
        <v>638</v>
      </c>
      <c r="M164" s="49"/>
      <c r="N164" s="35" t="str">
        <f t="shared" si="7"/>
        <v>shiwakeTekiyouNaiyouA0111</v>
      </c>
    </row>
    <row r="165" spans="2:14" ht="22.5">
      <c r="B165" s="25"/>
      <c r="C165" s="26" t="s">
        <v>16</v>
      </c>
      <c r="D165" s="26" t="s">
        <v>16</v>
      </c>
      <c r="E165" s="41" t="s">
        <v>662</v>
      </c>
      <c r="F165" s="42" t="s">
        <v>663</v>
      </c>
      <c r="G165" s="43" t="s">
        <v>664</v>
      </c>
      <c r="H165" s="27" t="s">
        <v>139</v>
      </c>
      <c r="I165" s="27" t="s">
        <v>139</v>
      </c>
      <c r="J165" s="27"/>
      <c r="K165" s="45" t="s">
        <v>665</v>
      </c>
      <c r="L165" s="46" t="s">
        <v>617</v>
      </c>
      <c r="M165" s="49"/>
      <c r="N165" s="35" t="str">
        <f t="shared" si="7"/>
        <v>shiwakeTekiyouNaiyouA0112</v>
      </c>
    </row>
    <row r="166" spans="2:14" ht="56.25">
      <c r="B166" s="25"/>
      <c r="C166" s="26" t="s">
        <v>16</v>
      </c>
      <c r="D166" s="26" t="s">
        <v>16</v>
      </c>
      <c r="E166" s="41" t="s">
        <v>666</v>
      </c>
      <c r="F166" s="42" t="s">
        <v>667</v>
      </c>
      <c r="G166" s="43" t="s">
        <v>668</v>
      </c>
      <c r="H166" s="27" t="s">
        <v>139</v>
      </c>
      <c r="I166" s="27" t="s">
        <v>139</v>
      </c>
      <c r="J166" s="27"/>
      <c r="K166" s="45" t="s">
        <v>669</v>
      </c>
      <c r="L166" s="46" t="s">
        <v>651</v>
      </c>
      <c r="M166" s="49"/>
      <c r="N166" s="35" t="str">
        <f t="shared" si="7"/>
        <v>shiwakeTekiyouNaiyouA0113</v>
      </c>
    </row>
    <row r="167" spans="2:14" ht="45">
      <c r="B167" s="25"/>
      <c r="C167" s="26" t="s">
        <v>16</v>
      </c>
      <c r="D167" s="26" t="s">
        <v>16</v>
      </c>
      <c r="E167" s="44" t="s">
        <v>670</v>
      </c>
      <c r="F167" s="39" t="s">
        <v>671</v>
      </c>
      <c r="G167" s="40" t="s">
        <v>624</v>
      </c>
      <c r="H167" s="27" t="s">
        <v>139</v>
      </c>
      <c r="I167" s="27" t="s">
        <v>139</v>
      </c>
      <c r="J167" s="27"/>
      <c r="K167" s="45" t="s">
        <v>672</v>
      </c>
      <c r="L167" s="46" t="s">
        <v>654</v>
      </c>
      <c r="M167" s="49"/>
      <c r="N167" s="35" t="str">
        <f t="shared" si="7"/>
        <v>shiwakeTekiyouNaiyouA012</v>
      </c>
    </row>
    <row r="168" spans="2:14" ht="22.5">
      <c r="B168" s="21"/>
      <c r="C168" s="37" t="s">
        <v>16</v>
      </c>
      <c r="D168" s="37" t="s">
        <v>16</v>
      </c>
      <c r="E168" s="44" t="s">
        <v>673</v>
      </c>
      <c r="F168" s="39" t="s">
        <v>674</v>
      </c>
      <c r="G168" s="40" t="s">
        <v>675</v>
      </c>
      <c r="H168" s="22" t="s">
        <v>139</v>
      </c>
      <c r="I168" s="22" t="s">
        <v>139</v>
      </c>
      <c r="J168" s="22"/>
      <c r="K168" s="45" t="s">
        <v>676</v>
      </c>
      <c r="L168" s="110" t="s">
        <v>1420</v>
      </c>
      <c r="M168" s="48"/>
      <c r="N168" s="35" t="str">
        <f t="shared" si="7"/>
        <v>shiwakeTekiyouNaiyouA006</v>
      </c>
    </row>
    <row r="169" spans="2:14" ht="45">
      <c r="B169" s="21"/>
      <c r="C169" s="37" t="s">
        <v>16</v>
      </c>
      <c r="D169" s="37" t="s">
        <v>16</v>
      </c>
      <c r="E169" s="44" t="s">
        <v>677</v>
      </c>
      <c r="F169" s="39" t="s">
        <v>678</v>
      </c>
      <c r="G169" s="40" t="s">
        <v>624</v>
      </c>
      <c r="H169" s="22" t="s">
        <v>139</v>
      </c>
      <c r="I169" s="22" t="s">
        <v>139</v>
      </c>
      <c r="J169" s="22"/>
      <c r="K169" s="45" t="s">
        <v>679</v>
      </c>
      <c r="L169" s="46" t="s">
        <v>680</v>
      </c>
      <c r="M169" s="48"/>
      <c r="N169" s="35" t="str">
        <f t="shared" si="7"/>
        <v>shiwakeTekiyouNaiyouA009</v>
      </c>
    </row>
    <row r="170" spans="2:14" ht="56.25">
      <c r="B170" s="31"/>
      <c r="C170" s="37" t="s">
        <v>16</v>
      </c>
      <c r="D170" s="37" t="s">
        <v>16</v>
      </c>
      <c r="E170" s="47" t="s">
        <v>681</v>
      </c>
      <c r="F170" s="39" t="s">
        <v>682</v>
      </c>
      <c r="G170" s="40" t="s">
        <v>636</v>
      </c>
      <c r="H170" s="22" t="s">
        <v>139</v>
      </c>
      <c r="I170" s="22" t="s">
        <v>139</v>
      </c>
      <c r="J170" s="22"/>
      <c r="K170" s="45" t="s">
        <v>683</v>
      </c>
      <c r="L170" s="46" t="s">
        <v>684</v>
      </c>
      <c r="M170" s="48"/>
      <c r="N170" s="35" t="str">
        <f t="shared" si="7"/>
        <v>shiwakeTekiyouNaiyouA010</v>
      </c>
    </row>
    <row r="171" spans="2:14" ht="45">
      <c r="B171" s="28" t="s">
        <v>685</v>
      </c>
      <c r="C171" s="37" t="s">
        <v>16</v>
      </c>
      <c r="D171" s="37" t="s">
        <v>16</v>
      </c>
      <c r="E171" s="24" t="s">
        <v>686</v>
      </c>
      <c r="F171" s="22" t="s">
        <v>687</v>
      </c>
      <c r="G171" s="22" t="s">
        <v>688</v>
      </c>
      <c r="H171" s="22" t="s">
        <v>21</v>
      </c>
      <c r="I171" s="22" t="s">
        <v>21</v>
      </c>
      <c r="J171" s="22" t="s">
        <v>689</v>
      </c>
      <c r="K171" s="23" t="s">
        <v>690</v>
      </c>
      <c r="L171" s="23" t="s">
        <v>691</v>
      </c>
      <c r="M171" s="48"/>
      <c r="N171" s="35" t="str">
        <f t="shared" si="7"/>
        <v>shiharaiHouhouA001</v>
      </c>
    </row>
    <row r="172" spans="2:14" ht="45">
      <c r="B172" s="21"/>
      <c r="C172" s="37" t="s">
        <v>16</v>
      </c>
      <c r="D172" s="37" t="s">
        <v>16</v>
      </c>
      <c r="E172" s="24" t="s">
        <v>692</v>
      </c>
      <c r="F172" s="22" t="s">
        <v>693</v>
      </c>
      <c r="G172" s="22" t="s">
        <v>688</v>
      </c>
      <c r="H172" s="22" t="s">
        <v>21</v>
      </c>
      <c r="I172" s="22" t="s">
        <v>21</v>
      </c>
      <c r="J172" s="22" t="s">
        <v>689</v>
      </c>
      <c r="K172" s="23" t="s">
        <v>694</v>
      </c>
      <c r="L172" s="23" t="s">
        <v>695</v>
      </c>
      <c r="M172" s="48"/>
      <c r="N172" s="35" t="str">
        <f t="shared" si="7"/>
        <v>shiharaiHouhouA002</v>
      </c>
    </row>
    <row r="173" spans="2:14" ht="45">
      <c r="B173" s="21"/>
      <c r="C173" s="37" t="s">
        <v>16</v>
      </c>
      <c r="D173" s="37" t="s">
        <v>16</v>
      </c>
      <c r="E173" s="24" t="s">
        <v>696</v>
      </c>
      <c r="F173" s="22" t="s">
        <v>697</v>
      </c>
      <c r="G173" s="22" t="s">
        <v>688</v>
      </c>
      <c r="H173" s="22" t="s">
        <v>21</v>
      </c>
      <c r="I173" s="22" t="s">
        <v>21</v>
      </c>
      <c r="J173" s="22" t="s">
        <v>689</v>
      </c>
      <c r="K173" s="23" t="s">
        <v>698</v>
      </c>
      <c r="L173" s="23" t="s">
        <v>691</v>
      </c>
      <c r="M173" s="48"/>
      <c r="N173" s="35" t="str">
        <f t="shared" si="7"/>
        <v>shiharaiHouhouA004</v>
      </c>
    </row>
    <row r="174" spans="2:14" ht="45">
      <c r="B174" s="31"/>
      <c r="C174" s="37" t="s">
        <v>16</v>
      </c>
      <c r="D174" s="37" t="s">
        <v>16</v>
      </c>
      <c r="E174" s="24" t="s">
        <v>699</v>
      </c>
      <c r="F174" s="22" t="s">
        <v>700</v>
      </c>
      <c r="G174" s="22" t="s">
        <v>688</v>
      </c>
      <c r="H174" s="22" t="s">
        <v>21</v>
      </c>
      <c r="I174" s="22" t="s">
        <v>21</v>
      </c>
      <c r="J174" s="22" t="s">
        <v>689</v>
      </c>
      <c r="K174" s="23" t="s">
        <v>701</v>
      </c>
      <c r="L174" s="23" t="s">
        <v>695</v>
      </c>
      <c r="M174" s="48"/>
      <c r="N174" s="35" t="str">
        <f t="shared" si="7"/>
        <v>shiharaiHouhouA005</v>
      </c>
    </row>
    <row r="175" spans="2:14" ht="33.75">
      <c r="B175" s="21" t="s">
        <v>702</v>
      </c>
      <c r="C175" s="37" t="s">
        <v>16</v>
      </c>
      <c r="D175" s="37" t="s">
        <v>16</v>
      </c>
      <c r="E175" s="24" t="s">
        <v>703</v>
      </c>
      <c r="F175" s="22" t="s">
        <v>704</v>
      </c>
      <c r="G175" s="22" t="s">
        <v>44</v>
      </c>
      <c r="H175" s="22" t="s">
        <v>21</v>
      </c>
      <c r="I175" s="22" t="s">
        <v>21</v>
      </c>
      <c r="J175" s="22" t="s">
        <v>60</v>
      </c>
      <c r="K175" s="23" t="s">
        <v>705</v>
      </c>
      <c r="L175" s="23" t="s">
        <v>706</v>
      </c>
      <c r="M175" s="48"/>
      <c r="N175" s="35" t="str">
        <f t="shared" si="7"/>
        <v>seikyuuKeijouNyuurohyku</v>
      </c>
    </row>
    <row r="176" spans="2:14" ht="78.75">
      <c r="B176" s="21"/>
      <c r="C176" s="37" t="s">
        <v>16</v>
      </c>
      <c r="D176" s="37" t="s">
        <v>16</v>
      </c>
      <c r="E176" s="24" t="s">
        <v>707</v>
      </c>
      <c r="F176" s="22" t="s">
        <v>708</v>
      </c>
      <c r="G176" s="22"/>
      <c r="H176" s="22" t="s">
        <v>21</v>
      </c>
      <c r="I176" s="22" t="s">
        <v>44</v>
      </c>
      <c r="J176" s="22" t="s">
        <v>60</v>
      </c>
      <c r="K176" s="23" t="s">
        <v>709</v>
      </c>
      <c r="L176" s="23" t="s">
        <v>710</v>
      </c>
      <c r="M176" s="48" t="s">
        <v>711</v>
      </c>
      <c r="N176" s="35" t="str">
        <f t="shared" si="7"/>
        <v>seikyuuKeijouSeigen</v>
      </c>
    </row>
    <row r="177" spans="1:14" ht="33.75">
      <c r="B177" s="21"/>
      <c r="C177" s="37" t="s">
        <v>16</v>
      </c>
      <c r="D177" s="37" t="s">
        <v>16</v>
      </c>
      <c r="E177" s="24" t="s">
        <v>712</v>
      </c>
      <c r="F177" s="22" t="s">
        <v>713</v>
      </c>
      <c r="G177" s="22" t="s">
        <v>44</v>
      </c>
      <c r="H177" s="22" t="s">
        <v>21</v>
      </c>
      <c r="I177" s="22" t="s">
        <v>21</v>
      </c>
      <c r="J177" s="22" t="s">
        <v>60</v>
      </c>
      <c r="K177" s="23" t="s">
        <v>714</v>
      </c>
      <c r="L177" s="23" t="s">
        <v>715</v>
      </c>
      <c r="M177" s="48"/>
      <c r="N177" s="35" t="str">
        <f t="shared" si="7"/>
        <v>seikyuuMasref</v>
      </c>
    </row>
    <row r="178" spans="1:14" ht="45">
      <c r="B178" s="21"/>
      <c r="C178" s="37" t="s">
        <v>16</v>
      </c>
      <c r="D178" s="37" t="s">
        <v>16</v>
      </c>
      <c r="E178" s="24" t="s">
        <v>716</v>
      </c>
      <c r="F178" s="22" t="s">
        <v>717</v>
      </c>
      <c r="G178" s="22" t="s">
        <v>44</v>
      </c>
      <c r="H178" s="22" t="s">
        <v>21</v>
      </c>
      <c r="I178" s="22" t="s">
        <v>21</v>
      </c>
      <c r="J178" s="22" t="s">
        <v>132</v>
      </c>
      <c r="K178" s="23" t="s">
        <v>718</v>
      </c>
      <c r="L178" s="23" t="s">
        <v>719</v>
      </c>
      <c r="M178" s="48"/>
      <c r="N178" s="35" t="str">
        <f t="shared" si="7"/>
        <v>seikyuuShiharaibiIkkatsu</v>
      </c>
    </row>
    <row r="179" spans="1:14" ht="67.5">
      <c r="B179" s="21"/>
      <c r="C179" s="37" t="s">
        <v>16</v>
      </c>
      <c r="D179" s="37" t="s">
        <v>16</v>
      </c>
      <c r="E179" s="24" t="s">
        <v>720</v>
      </c>
      <c r="F179" s="22" t="s">
        <v>721</v>
      </c>
      <c r="G179" s="22"/>
      <c r="H179" s="22" t="s">
        <v>21</v>
      </c>
      <c r="I179" s="22" t="s">
        <v>44</v>
      </c>
      <c r="J179" s="22" t="s">
        <v>60</v>
      </c>
      <c r="K179" s="23" t="s">
        <v>722</v>
      </c>
      <c r="L179" s="23" t="s">
        <v>723</v>
      </c>
      <c r="M179" s="35"/>
      <c r="N179" s="35" t="str">
        <f t="shared" si="7"/>
        <v>shiharaiiraiKeijouSeigen</v>
      </c>
    </row>
    <row r="180" spans="1:14" ht="33.75">
      <c r="B180" s="21"/>
      <c r="C180" s="37" t="s">
        <v>16</v>
      </c>
      <c r="D180" s="37" t="s">
        <v>16</v>
      </c>
      <c r="E180" s="24" t="s">
        <v>724</v>
      </c>
      <c r="F180" s="22" t="s">
        <v>725</v>
      </c>
      <c r="G180" s="22" t="s">
        <v>44</v>
      </c>
      <c r="H180" s="22" t="s">
        <v>21</v>
      </c>
      <c r="I180" s="22" t="s">
        <v>21</v>
      </c>
      <c r="J180" s="22" t="s">
        <v>60</v>
      </c>
      <c r="K180" s="23" t="s">
        <v>726</v>
      </c>
      <c r="L180" s="23" t="s">
        <v>727</v>
      </c>
      <c r="M180" s="48"/>
      <c r="N180" s="35" t="str">
        <f t="shared" ref="N180" si="8">LOWER(LEFT(K180,1))&amp;MID(SUBSTITUTE(PROPER(K180),"_",""),2,LEN(K180))</f>
        <v>shiharaiiraiShiharaibiIkkatsu</v>
      </c>
    </row>
    <row r="181" spans="1:14" ht="33.75">
      <c r="B181" s="21"/>
      <c r="C181" s="37" t="s">
        <v>16</v>
      </c>
      <c r="D181" s="37" t="s">
        <v>16</v>
      </c>
      <c r="E181" s="24" t="s">
        <v>728</v>
      </c>
      <c r="F181" s="22" t="s">
        <v>729</v>
      </c>
      <c r="G181" s="22" t="s">
        <v>44</v>
      </c>
      <c r="H181" s="22" t="s">
        <v>21</v>
      </c>
      <c r="I181" s="22" t="s">
        <v>21</v>
      </c>
      <c r="J181" s="22" t="s">
        <v>60</v>
      </c>
      <c r="K181" s="23" t="s">
        <v>730</v>
      </c>
      <c r="L181" s="23" t="s">
        <v>706</v>
      </c>
      <c r="M181" s="48"/>
      <c r="N181" s="35" t="str">
        <f t="shared" si="7"/>
        <v>jidouhikiKeijouNyuurohyku</v>
      </c>
    </row>
    <row r="182" spans="1:14" ht="78.75">
      <c r="B182" s="21"/>
      <c r="C182" s="37" t="s">
        <v>16</v>
      </c>
      <c r="D182" s="37" t="s">
        <v>16</v>
      </c>
      <c r="E182" s="24" t="s">
        <v>731</v>
      </c>
      <c r="F182" s="22" t="s">
        <v>732</v>
      </c>
      <c r="G182" s="22"/>
      <c r="H182" s="22" t="s">
        <v>21</v>
      </c>
      <c r="I182" s="22" t="s">
        <v>44</v>
      </c>
      <c r="J182" s="22" t="s">
        <v>60</v>
      </c>
      <c r="K182" s="23" t="s">
        <v>733</v>
      </c>
      <c r="L182" s="23" t="s">
        <v>734</v>
      </c>
      <c r="M182" s="48" t="s">
        <v>735</v>
      </c>
      <c r="N182" s="35" t="str">
        <f t="shared" si="7"/>
        <v>jidouhikiKeijouSeigen</v>
      </c>
    </row>
    <row r="183" spans="1:14" ht="56.25">
      <c r="B183" s="21"/>
      <c r="C183" s="37" t="s">
        <v>16</v>
      </c>
      <c r="D183" s="37" t="s">
        <v>16</v>
      </c>
      <c r="E183" s="24" t="s">
        <v>736</v>
      </c>
      <c r="F183" s="22" t="s">
        <v>737</v>
      </c>
      <c r="G183" s="22" t="s">
        <v>21</v>
      </c>
      <c r="H183" s="22" t="s">
        <v>21</v>
      </c>
      <c r="I183" s="22" t="s">
        <v>21</v>
      </c>
      <c r="J183" s="22" t="s">
        <v>738</v>
      </c>
      <c r="K183" s="22" t="s">
        <v>739</v>
      </c>
      <c r="L183" s="23" t="s">
        <v>740</v>
      </c>
      <c r="M183" s="48"/>
      <c r="N183" s="35" t="str">
        <f t="shared" si="7"/>
        <v>keijoubiDefaultA001</v>
      </c>
    </row>
    <row r="184" spans="1:14" ht="78.75">
      <c r="B184" s="21"/>
      <c r="C184" s="37" t="s">
        <v>16</v>
      </c>
      <c r="D184" s="37" t="s">
        <v>16</v>
      </c>
      <c r="E184" s="24" t="s">
        <v>741</v>
      </c>
      <c r="F184" s="22" t="s">
        <v>742</v>
      </c>
      <c r="G184" s="22"/>
      <c r="H184" s="22" t="s">
        <v>21</v>
      </c>
      <c r="I184" s="22" t="s">
        <v>44</v>
      </c>
      <c r="J184" s="22" t="s">
        <v>60</v>
      </c>
      <c r="K184" s="23" t="s">
        <v>743</v>
      </c>
      <c r="L184" s="23" t="s">
        <v>744</v>
      </c>
      <c r="M184" s="48" t="s">
        <v>745</v>
      </c>
      <c r="N184" s="35" t="str">
        <f t="shared" si="7"/>
        <v>keihiseisanKeijouSeigen</v>
      </c>
    </row>
    <row r="185" spans="1:14" ht="56.25">
      <c r="B185" s="21"/>
      <c r="C185" s="37" t="s">
        <v>16</v>
      </c>
      <c r="D185" s="37" t="s">
        <v>16</v>
      </c>
      <c r="E185" s="24" t="s">
        <v>746</v>
      </c>
      <c r="F185" s="22" t="s">
        <v>747</v>
      </c>
      <c r="G185" s="22" t="s">
        <v>21</v>
      </c>
      <c r="H185" s="22" t="s">
        <v>21</v>
      </c>
      <c r="I185" s="22" t="s">
        <v>21</v>
      </c>
      <c r="J185" s="22" t="s">
        <v>738</v>
      </c>
      <c r="K185" s="22" t="s">
        <v>748</v>
      </c>
      <c r="L185" s="23" t="s">
        <v>749</v>
      </c>
      <c r="M185" s="48"/>
      <c r="N185" s="35" t="str">
        <f t="shared" si="7"/>
        <v>keijoubiDefaultA004</v>
      </c>
    </row>
    <row r="186" spans="1:14" ht="78.75">
      <c r="B186" s="21"/>
      <c r="C186" s="37" t="s">
        <v>16</v>
      </c>
      <c r="D186" s="37" t="s">
        <v>16</v>
      </c>
      <c r="E186" s="24" t="s">
        <v>750</v>
      </c>
      <c r="F186" s="22" t="s">
        <v>751</v>
      </c>
      <c r="G186" s="22"/>
      <c r="H186" s="22" t="s">
        <v>21</v>
      </c>
      <c r="I186" s="22" t="s">
        <v>44</v>
      </c>
      <c r="J186" s="22" t="s">
        <v>60</v>
      </c>
      <c r="K186" s="23" t="s">
        <v>752</v>
      </c>
      <c r="L186" s="23" t="s">
        <v>753</v>
      </c>
      <c r="M186" s="48" t="s">
        <v>754</v>
      </c>
      <c r="N186" s="35" t="str">
        <f t="shared" si="7"/>
        <v>ryohiseisanKeijouSeigen</v>
      </c>
    </row>
    <row r="187" spans="1:14" ht="56.25">
      <c r="B187" s="25"/>
      <c r="C187" s="26" t="s">
        <v>16</v>
      </c>
      <c r="D187" s="26" t="s">
        <v>16</v>
      </c>
      <c r="E187" s="24" t="s">
        <v>755</v>
      </c>
      <c r="F187" s="27" t="s">
        <v>756</v>
      </c>
      <c r="G187" s="27" t="s">
        <v>21</v>
      </c>
      <c r="H187" s="27" t="s">
        <v>21</v>
      </c>
      <c r="I187" s="27" t="s">
        <v>21</v>
      </c>
      <c r="J187" s="22" t="s">
        <v>738</v>
      </c>
      <c r="K187" s="27" t="s">
        <v>757</v>
      </c>
      <c r="L187" s="30" t="s">
        <v>749</v>
      </c>
      <c r="M187" s="49"/>
      <c r="N187" s="35" t="str">
        <f t="shared" si="7"/>
        <v>keijoubiDefaultA011</v>
      </c>
    </row>
    <row r="188" spans="1:14" ht="78.75">
      <c r="B188" s="21"/>
      <c r="C188" s="37" t="s">
        <v>16</v>
      </c>
      <c r="D188" s="37" t="s">
        <v>16</v>
      </c>
      <c r="E188" s="24" t="s">
        <v>758</v>
      </c>
      <c r="F188" s="22" t="s">
        <v>759</v>
      </c>
      <c r="G188" s="22"/>
      <c r="H188" s="22" t="s">
        <v>21</v>
      </c>
      <c r="I188" s="22" t="s">
        <v>44</v>
      </c>
      <c r="J188" s="22" t="s">
        <v>60</v>
      </c>
      <c r="K188" s="23" t="s">
        <v>760</v>
      </c>
      <c r="L188" s="23" t="s">
        <v>761</v>
      </c>
      <c r="M188" s="48" t="s">
        <v>762</v>
      </c>
      <c r="N188" s="35" t="str">
        <f t="shared" si="7"/>
        <v>kaigairyohiseisanKeijouSeigen</v>
      </c>
    </row>
    <row r="189" spans="1:14" ht="56.25">
      <c r="B189" s="21"/>
      <c r="C189" s="37" t="s">
        <v>16</v>
      </c>
      <c r="D189" s="37" t="s">
        <v>16</v>
      </c>
      <c r="E189" s="24" t="s">
        <v>763</v>
      </c>
      <c r="F189" s="22" t="s">
        <v>764</v>
      </c>
      <c r="G189" s="22" t="s">
        <v>21</v>
      </c>
      <c r="H189" s="22" t="s">
        <v>21</v>
      </c>
      <c r="I189" s="22" t="s">
        <v>21</v>
      </c>
      <c r="J189" s="22" t="s">
        <v>738</v>
      </c>
      <c r="K189" s="22" t="s">
        <v>765</v>
      </c>
      <c r="L189" s="23" t="s">
        <v>766</v>
      </c>
      <c r="M189" s="48"/>
      <c r="N189" s="35" t="str">
        <f t="shared" si="7"/>
        <v>keijoubiDefaultA010</v>
      </c>
    </row>
    <row r="190" spans="1:14" ht="78.75">
      <c r="B190" s="21"/>
      <c r="C190" s="37" t="s">
        <v>16</v>
      </c>
      <c r="D190" s="37" t="s">
        <v>16</v>
      </c>
      <c r="E190" s="24" t="s">
        <v>767</v>
      </c>
      <c r="F190" s="22" t="s">
        <v>768</v>
      </c>
      <c r="G190" s="22"/>
      <c r="H190" s="22" t="s">
        <v>21</v>
      </c>
      <c r="I190" s="22" t="s">
        <v>44</v>
      </c>
      <c r="J190" s="22" t="s">
        <v>60</v>
      </c>
      <c r="K190" s="23" t="s">
        <v>769</v>
      </c>
      <c r="L190" s="23" t="s">
        <v>770</v>
      </c>
      <c r="M190" s="48" t="s">
        <v>771</v>
      </c>
      <c r="N190" s="35" t="str">
        <f t="shared" si="7"/>
        <v>koutsuuhiseisanKeijouSeigen</v>
      </c>
    </row>
    <row r="191" spans="1:14" ht="33.75">
      <c r="A191" s="2"/>
      <c r="B191" s="21"/>
      <c r="C191" s="37" t="s">
        <v>16</v>
      </c>
      <c r="D191" s="37" t="s">
        <v>16</v>
      </c>
      <c r="E191" s="24" t="s">
        <v>772</v>
      </c>
      <c r="F191" s="22" t="s">
        <v>773</v>
      </c>
      <c r="G191" s="22" t="s">
        <v>21</v>
      </c>
      <c r="H191" s="22" t="s">
        <v>21</v>
      </c>
      <c r="I191" s="22" t="s">
        <v>21</v>
      </c>
      <c r="J191" s="22" t="s">
        <v>113</v>
      </c>
      <c r="K191" s="23" t="s">
        <v>774</v>
      </c>
      <c r="L191" s="23" t="s">
        <v>775</v>
      </c>
      <c r="M191" s="48"/>
      <c r="N191" s="35" t="str">
        <f t="shared" si="7"/>
        <v>keijouNyuuryoku</v>
      </c>
    </row>
    <row r="192" spans="1:14" ht="22.5">
      <c r="A192" s="2"/>
      <c r="B192" s="21"/>
      <c r="C192" s="37" t="s">
        <v>16</v>
      </c>
      <c r="D192" s="37" t="s">
        <v>16</v>
      </c>
      <c r="E192" s="24" t="s">
        <v>776</v>
      </c>
      <c r="F192" s="22" t="s">
        <v>777</v>
      </c>
      <c r="G192" s="22" t="s">
        <v>21</v>
      </c>
      <c r="H192" s="22" t="s">
        <v>21</v>
      </c>
      <c r="I192" s="22" t="s">
        <v>21</v>
      </c>
      <c r="J192" s="22" t="s">
        <v>778</v>
      </c>
      <c r="K192" s="23" t="s">
        <v>779</v>
      </c>
      <c r="L192" s="23" t="s">
        <v>780</v>
      </c>
      <c r="M192" s="48"/>
      <c r="N192" s="35" t="str">
        <f t="shared" si="7"/>
        <v>keijouHaniMaeA003</v>
      </c>
    </row>
    <row r="193" spans="1:14" ht="22.5">
      <c r="A193" s="2"/>
      <c r="B193" s="21"/>
      <c r="C193" s="37" t="s">
        <v>16</v>
      </c>
      <c r="D193" s="37" t="s">
        <v>16</v>
      </c>
      <c r="E193" s="24" t="s">
        <v>781</v>
      </c>
      <c r="F193" s="22" t="s">
        <v>782</v>
      </c>
      <c r="G193" s="22" t="s">
        <v>21</v>
      </c>
      <c r="H193" s="22" t="s">
        <v>21</v>
      </c>
      <c r="I193" s="22" t="s">
        <v>21</v>
      </c>
      <c r="J193" s="22" t="s">
        <v>778</v>
      </c>
      <c r="K193" s="23" t="s">
        <v>783</v>
      </c>
      <c r="L193" s="23" t="s">
        <v>784</v>
      </c>
      <c r="M193" s="48"/>
      <c r="N193" s="35" t="str">
        <f t="shared" si="7"/>
        <v>keijouHaniAtoA003</v>
      </c>
    </row>
    <row r="194" spans="1:14" ht="22.5">
      <c r="A194" s="2"/>
      <c r="B194" s="21"/>
      <c r="C194" s="37" t="s">
        <v>16</v>
      </c>
      <c r="D194" s="37" t="s">
        <v>16</v>
      </c>
      <c r="E194" s="24" t="s">
        <v>785</v>
      </c>
      <c r="F194" s="22" t="s">
        <v>786</v>
      </c>
      <c r="G194" s="22" t="s">
        <v>21</v>
      </c>
      <c r="H194" s="22" t="s">
        <v>21</v>
      </c>
      <c r="I194" s="22" t="s">
        <v>21</v>
      </c>
      <c r="J194" s="22" t="s">
        <v>778</v>
      </c>
      <c r="K194" s="23" t="s">
        <v>787</v>
      </c>
      <c r="L194" s="23" t="s">
        <v>780</v>
      </c>
      <c r="M194" s="48"/>
      <c r="N194" s="35" t="str">
        <f t="shared" si="7"/>
        <v>keijouHaniMaeA013</v>
      </c>
    </row>
    <row r="195" spans="1:14" ht="22.5">
      <c r="A195" s="2"/>
      <c r="B195" s="21"/>
      <c r="C195" s="37" t="s">
        <v>16</v>
      </c>
      <c r="D195" s="37" t="s">
        <v>16</v>
      </c>
      <c r="E195" s="24" t="s">
        <v>788</v>
      </c>
      <c r="F195" s="22" t="s">
        <v>789</v>
      </c>
      <c r="G195" s="22" t="s">
        <v>21</v>
      </c>
      <c r="H195" s="22" t="s">
        <v>21</v>
      </c>
      <c r="I195" s="22" t="s">
        <v>21</v>
      </c>
      <c r="J195" s="22" t="s">
        <v>778</v>
      </c>
      <c r="K195" s="23" t="s">
        <v>790</v>
      </c>
      <c r="L195" s="23" t="s">
        <v>784</v>
      </c>
      <c r="M195" s="48"/>
      <c r="N195" s="35" t="str">
        <f t="shared" si="7"/>
        <v>keijouHaniAtoA013</v>
      </c>
    </row>
    <row r="196" spans="1:14" ht="22.5">
      <c r="A196" s="2"/>
      <c r="B196" s="21"/>
      <c r="C196" s="37" t="s">
        <v>16</v>
      </c>
      <c r="D196" s="37" t="s">
        <v>16</v>
      </c>
      <c r="E196" s="24" t="s">
        <v>791</v>
      </c>
      <c r="F196" s="22" t="s">
        <v>792</v>
      </c>
      <c r="G196" s="22" t="s">
        <v>21</v>
      </c>
      <c r="H196" s="22" t="s">
        <v>21</v>
      </c>
      <c r="I196" s="22" t="s">
        <v>21</v>
      </c>
      <c r="J196" s="22" t="s">
        <v>778</v>
      </c>
      <c r="K196" s="23" t="s">
        <v>793</v>
      </c>
      <c r="L196" s="23" t="s">
        <v>780</v>
      </c>
      <c r="M196" s="48"/>
      <c r="N196" s="35" t="str">
        <f t="shared" si="7"/>
        <v>keijouHaniMaeA009</v>
      </c>
    </row>
    <row r="197" spans="1:14" ht="22.5">
      <c r="A197" s="2"/>
      <c r="B197" s="21"/>
      <c r="C197" s="37" t="s">
        <v>16</v>
      </c>
      <c r="D197" s="37" t="s">
        <v>16</v>
      </c>
      <c r="E197" s="24" t="s">
        <v>794</v>
      </c>
      <c r="F197" s="22" t="s">
        <v>795</v>
      </c>
      <c r="G197" s="22" t="s">
        <v>21</v>
      </c>
      <c r="H197" s="22" t="s">
        <v>21</v>
      </c>
      <c r="I197" s="22" t="s">
        <v>21</v>
      </c>
      <c r="J197" s="22" t="s">
        <v>778</v>
      </c>
      <c r="K197" s="23" t="s">
        <v>796</v>
      </c>
      <c r="L197" s="23" t="s">
        <v>784</v>
      </c>
      <c r="M197" s="48"/>
      <c r="N197" s="35" t="str">
        <f t="shared" si="7"/>
        <v>keijouHaniAtoA009</v>
      </c>
    </row>
    <row r="198" spans="1:14" ht="22.5">
      <c r="A198" s="2"/>
      <c r="B198" s="21"/>
      <c r="C198" s="37" t="s">
        <v>16</v>
      </c>
      <c r="D198" s="37" t="s">
        <v>16</v>
      </c>
      <c r="E198" s="24" t="s">
        <v>797</v>
      </c>
      <c r="F198" s="22" t="s">
        <v>798</v>
      </c>
      <c r="G198" s="22" t="s">
        <v>21</v>
      </c>
      <c r="H198" s="22" t="s">
        <v>21</v>
      </c>
      <c r="I198" s="22" t="s">
        <v>21</v>
      </c>
      <c r="J198" s="22" t="s">
        <v>778</v>
      </c>
      <c r="K198" s="23" t="s">
        <v>799</v>
      </c>
      <c r="L198" s="23" t="s">
        <v>780</v>
      </c>
      <c r="M198" s="48"/>
      <c r="N198" s="35" t="str">
        <f t="shared" si="7"/>
        <v>keijouHaniMaeA001</v>
      </c>
    </row>
    <row r="199" spans="1:14" ht="22.5">
      <c r="A199" s="2"/>
      <c r="B199" s="21"/>
      <c r="C199" s="37" t="s">
        <v>16</v>
      </c>
      <c r="D199" s="37" t="s">
        <v>16</v>
      </c>
      <c r="E199" s="24" t="s">
        <v>800</v>
      </c>
      <c r="F199" s="22" t="s">
        <v>801</v>
      </c>
      <c r="G199" s="22" t="s">
        <v>21</v>
      </c>
      <c r="H199" s="22" t="s">
        <v>21</v>
      </c>
      <c r="I199" s="22" t="s">
        <v>21</v>
      </c>
      <c r="J199" s="22" t="s">
        <v>778</v>
      </c>
      <c r="K199" s="23" t="s">
        <v>802</v>
      </c>
      <c r="L199" s="23" t="s">
        <v>784</v>
      </c>
      <c r="M199" s="48"/>
      <c r="N199" s="35" t="str">
        <f t="shared" si="7"/>
        <v>keijouHaniAtoA001</v>
      </c>
    </row>
    <row r="200" spans="1:14" ht="22.5">
      <c r="A200" s="2"/>
      <c r="B200" s="21"/>
      <c r="C200" s="37" t="s">
        <v>16</v>
      </c>
      <c r="D200" s="37" t="s">
        <v>16</v>
      </c>
      <c r="E200" s="24" t="s">
        <v>803</v>
      </c>
      <c r="F200" s="22" t="s">
        <v>804</v>
      </c>
      <c r="G200" s="22" t="s">
        <v>21</v>
      </c>
      <c r="H200" s="22" t="s">
        <v>21</v>
      </c>
      <c r="I200" s="22" t="s">
        <v>21</v>
      </c>
      <c r="J200" s="22" t="s">
        <v>778</v>
      </c>
      <c r="K200" s="23" t="s">
        <v>805</v>
      </c>
      <c r="L200" s="23" t="s">
        <v>780</v>
      </c>
      <c r="M200" s="48"/>
      <c r="N200" s="35" t="str">
        <f t="shared" si="7"/>
        <v>keijouHaniMaeA004</v>
      </c>
    </row>
    <row r="201" spans="1:14" ht="22.5">
      <c r="A201" s="2"/>
      <c r="B201" s="21"/>
      <c r="C201" s="37" t="s">
        <v>16</v>
      </c>
      <c r="D201" s="37" t="s">
        <v>16</v>
      </c>
      <c r="E201" s="24" t="s">
        <v>806</v>
      </c>
      <c r="F201" s="22" t="s">
        <v>807</v>
      </c>
      <c r="G201" s="22" t="s">
        <v>21</v>
      </c>
      <c r="H201" s="22" t="s">
        <v>21</v>
      </c>
      <c r="I201" s="22" t="s">
        <v>21</v>
      </c>
      <c r="J201" s="22" t="s">
        <v>778</v>
      </c>
      <c r="K201" s="23" t="s">
        <v>808</v>
      </c>
      <c r="L201" s="23" t="s">
        <v>784</v>
      </c>
      <c r="M201" s="48"/>
      <c r="N201" s="35" t="str">
        <f t="shared" si="7"/>
        <v>keijouHaniAtoA004</v>
      </c>
    </row>
    <row r="202" spans="1:14" ht="22.5">
      <c r="A202" s="2"/>
      <c r="B202" s="21"/>
      <c r="C202" s="37" t="s">
        <v>16</v>
      </c>
      <c r="D202" s="37" t="s">
        <v>16</v>
      </c>
      <c r="E202" s="24" t="s">
        <v>809</v>
      </c>
      <c r="F202" s="22" t="s">
        <v>810</v>
      </c>
      <c r="G202" s="22" t="s">
        <v>21</v>
      </c>
      <c r="H202" s="22" t="s">
        <v>21</v>
      </c>
      <c r="I202" s="22" t="s">
        <v>21</v>
      </c>
      <c r="J202" s="22" t="s">
        <v>778</v>
      </c>
      <c r="K202" s="23" t="s">
        <v>811</v>
      </c>
      <c r="L202" s="23" t="s">
        <v>780</v>
      </c>
      <c r="M202" s="48"/>
      <c r="N202" s="35" t="str">
        <f t="shared" si="7"/>
        <v>keijouHaniMaeA011</v>
      </c>
    </row>
    <row r="203" spans="1:14" ht="22.5">
      <c r="A203" s="2"/>
      <c r="B203" s="21"/>
      <c r="C203" s="37" t="s">
        <v>16</v>
      </c>
      <c r="D203" s="37" t="s">
        <v>16</v>
      </c>
      <c r="E203" s="24" t="s">
        <v>812</v>
      </c>
      <c r="F203" s="22" t="s">
        <v>813</v>
      </c>
      <c r="G203" s="22" t="s">
        <v>21</v>
      </c>
      <c r="H203" s="22" t="s">
        <v>21</v>
      </c>
      <c r="I203" s="22" t="s">
        <v>21</v>
      </c>
      <c r="J203" s="22" t="s">
        <v>778</v>
      </c>
      <c r="K203" s="23" t="s">
        <v>814</v>
      </c>
      <c r="L203" s="23" t="s">
        <v>784</v>
      </c>
      <c r="M203" s="48"/>
      <c r="N203" s="35" t="str">
        <f t="shared" si="7"/>
        <v>keijouHaniAtoA011</v>
      </c>
    </row>
    <row r="204" spans="1:14" ht="22.5">
      <c r="A204" s="2"/>
      <c r="B204" s="21"/>
      <c r="C204" s="37" t="s">
        <v>16</v>
      </c>
      <c r="D204" s="37" t="s">
        <v>16</v>
      </c>
      <c r="E204" s="24" t="s">
        <v>815</v>
      </c>
      <c r="F204" s="22" t="s">
        <v>816</v>
      </c>
      <c r="G204" s="22" t="s">
        <v>21</v>
      </c>
      <c r="H204" s="22" t="s">
        <v>21</v>
      </c>
      <c r="I204" s="22" t="s">
        <v>21</v>
      </c>
      <c r="J204" s="22" t="s">
        <v>778</v>
      </c>
      <c r="K204" s="23" t="s">
        <v>817</v>
      </c>
      <c r="L204" s="23" t="s">
        <v>780</v>
      </c>
      <c r="M204" s="48"/>
      <c r="N204" s="35" t="str">
        <f t="shared" si="7"/>
        <v>keijouHaniMaeA010</v>
      </c>
    </row>
    <row r="205" spans="1:14" ht="22.5">
      <c r="A205" s="2"/>
      <c r="B205" s="21"/>
      <c r="C205" s="37" t="s">
        <v>16</v>
      </c>
      <c r="D205" s="37" t="s">
        <v>16</v>
      </c>
      <c r="E205" s="24" t="s">
        <v>818</v>
      </c>
      <c r="F205" s="22" t="s">
        <v>819</v>
      </c>
      <c r="G205" s="22" t="s">
        <v>21</v>
      </c>
      <c r="H205" s="22" t="s">
        <v>21</v>
      </c>
      <c r="I205" s="22" t="s">
        <v>21</v>
      </c>
      <c r="J205" s="22" t="s">
        <v>778</v>
      </c>
      <c r="K205" s="23" t="s">
        <v>820</v>
      </c>
      <c r="L205" s="23" t="s">
        <v>784</v>
      </c>
      <c r="M205" s="48"/>
      <c r="N205" s="35" t="str">
        <f t="shared" si="7"/>
        <v>keijouHaniAtoA010</v>
      </c>
    </row>
    <row r="206" spans="1:14" ht="56.25">
      <c r="B206" s="28" t="s">
        <v>821</v>
      </c>
      <c r="C206" s="37" t="s">
        <v>16</v>
      </c>
      <c r="D206" s="37" t="s">
        <v>16</v>
      </c>
      <c r="E206" s="24" t="s">
        <v>563</v>
      </c>
      <c r="F206" s="22" t="s">
        <v>822</v>
      </c>
      <c r="G206" s="22" t="s">
        <v>44</v>
      </c>
      <c r="H206" s="22" t="s">
        <v>21</v>
      </c>
      <c r="I206" s="22" t="s">
        <v>21</v>
      </c>
      <c r="J206" s="22" t="s">
        <v>132</v>
      </c>
      <c r="K206" s="22" t="s">
        <v>823</v>
      </c>
      <c r="L206" s="23" t="s">
        <v>824</v>
      </c>
      <c r="M206" s="48"/>
      <c r="N206" s="35" t="str">
        <f t="shared" si="7"/>
        <v>furikomiRuleA001</v>
      </c>
    </row>
    <row r="207" spans="1:14" ht="56.25">
      <c r="B207" s="21"/>
      <c r="C207" s="37" t="s">
        <v>16</v>
      </c>
      <c r="D207" s="37" t="s">
        <v>16</v>
      </c>
      <c r="E207" s="24" t="s">
        <v>567</v>
      </c>
      <c r="F207" s="22" t="s">
        <v>825</v>
      </c>
      <c r="G207" s="22" t="s">
        <v>44</v>
      </c>
      <c r="H207" s="22" t="s">
        <v>21</v>
      </c>
      <c r="I207" s="22" t="s">
        <v>21</v>
      </c>
      <c r="J207" s="22" t="s">
        <v>132</v>
      </c>
      <c r="K207" s="22" t="s">
        <v>826</v>
      </c>
      <c r="L207" s="23" t="s">
        <v>827</v>
      </c>
      <c r="M207" s="48"/>
      <c r="N207" s="35" t="str">
        <f t="shared" si="7"/>
        <v>furikomiRuleA002</v>
      </c>
    </row>
    <row r="208" spans="1:14" ht="56.25">
      <c r="B208" s="21"/>
      <c r="C208" s="37" t="s">
        <v>16</v>
      </c>
      <c r="D208" s="37" t="s">
        <v>16</v>
      </c>
      <c r="E208" s="24" t="s">
        <v>828</v>
      </c>
      <c r="F208" s="22" t="s">
        <v>829</v>
      </c>
      <c r="G208" s="22" t="s">
        <v>44</v>
      </c>
      <c r="H208" s="22" t="s">
        <v>21</v>
      </c>
      <c r="I208" s="22" t="s">
        <v>21</v>
      </c>
      <c r="J208" s="22" t="s">
        <v>132</v>
      </c>
      <c r="K208" s="22" t="s">
        <v>830</v>
      </c>
      <c r="L208" s="23" t="s">
        <v>831</v>
      </c>
      <c r="M208" s="48"/>
      <c r="N208" s="35" t="str">
        <f t="shared" si="7"/>
        <v>furikomiRuleA004</v>
      </c>
    </row>
    <row r="209" spans="2:14" ht="56.25">
      <c r="B209" s="21"/>
      <c r="C209" s="37" t="s">
        <v>16</v>
      </c>
      <c r="D209" s="37" t="s">
        <v>16</v>
      </c>
      <c r="E209" s="24" t="s">
        <v>582</v>
      </c>
      <c r="F209" s="22" t="s">
        <v>832</v>
      </c>
      <c r="G209" s="22" t="s">
        <v>44</v>
      </c>
      <c r="H209" s="22" t="s">
        <v>21</v>
      </c>
      <c r="I209" s="22" t="s">
        <v>21</v>
      </c>
      <c r="J209" s="22" t="s">
        <v>132</v>
      </c>
      <c r="K209" s="22" t="s">
        <v>833</v>
      </c>
      <c r="L209" s="23" t="s">
        <v>834</v>
      </c>
      <c r="M209" s="48"/>
      <c r="N209" s="35" t="str">
        <f t="shared" si="7"/>
        <v>furikomiRuleA005</v>
      </c>
    </row>
    <row r="210" spans="2:14" ht="56.25">
      <c r="B210" s="25"/>
      <c r="C210" s="26" t="s">
        <v>16</v>
      </c>
      <c r="D210" s="26" t="s">
        <v>16</v>
      </c>
      <c r="E210" s="29" t="s">
        <v>835</v>
      </c>
      <c r="F210" s="27" t="s">
        <v>836</v>
      </c>
      <c r="G210" s="27" t="s">
        <v>44</v>
      </c>
      <c r="H210" s="27" t="s">
        <v>21</v>
      </c>
      <c r="I210" s="27" t="s">
        <v>21</v>
      </c>
      <c r="J210" s="27" t="s">
        <v>132</v>
      </c>
      <c r="K210" s="27" t="s">
        <v>837</v>
      </c>
      <c r="L210" s="30" t="s">
        <v>838</v>
      </c>
      <c r="M210" s="49"/>
      <c r="N210" s="35" t="str">
        <f t="shared" si="7"/>
        <v>furikomiRuleA011</v>
      </c>
    </row>
    <row r="211" spans="2:14" ht="56.25">
      <c r="B211" s="25"/>
      <c r="C211" s="26" t="s">
        <v>16</v>
      </c>
      <c r="D211" s="26" t="s">
        <v>16</v>
      </c>
      <c r="E211" s="29" t="s">
        <v>588</v>
      </c>
      <c r="F211" s="27" t="s">
        <v>839</v>
      </c>
      <c r="G211" s="27" t="s">
        <v>44</v>
      </c>
      <c r="H211" s="27" t="s">
        <v>21</v>
      </c>
      <c r="I211" s="27" t="s">
        <v>21</v>
      </c>
      <c r="J211" s="27" t="s">
        <v>132</v>
      </c>
      <c r="K211" s="27" t="s">
        <v>840</v>
      </c>
      <c r="L211" s="30" t="s">
        <v>841</v>
      </c>
      <c r="M211" s="49"/>
      <c r="N211" s="35" t="str">
        <f t="shared" si="7"/>
        <v>furikomiRuleA012</v>
      </c>
    </row>
    <row r="212" spans="2:14" ht="56.25">
      <c r="B212" s="21"/>
      <c r="C212" s="37" t="s">
        <v>16</v>
      </c>
      <c r="D212" s="37" t="s">
        <v>16</v>
      </c>
      <c r="E212" s="24" t="s">
        <v>842</v>
      </c>
      <c r="F212" s="22" t="s">
        <v>843</v>
      </c>
      <c r="G212" s="22" t="s">
        <v>44</v>
      </c>
      <c r="H212" s="22" t="s">
        <v>21</v>
      </c>
      <c r="I212" s="22" t="s">
        <v>21</v>
      </c>
      <c r="J212" s="22" t="s">
        <v>132</v>
      </c>
      <c r="K212" s="22" t="s">
        <v>844</v>
      </c>
      <c r="L212" s="23" t="s">
        <v>845</v>
      </c>
      <c r="M212" s="48"/>
      <c r="N212" s="35" t="str">
        <f t="shared" si="7"/>
        <v>furikomiRuleA010</v>
      </c>
    </row>
    <row r="213" spans="2:14" ht="56.25">
      <c r="B213" s="21"/>
      <c r="C213" s="37" t="s">
        <v>16</v>
      </c>
      <c r="D213" s="37" t="s">
        <v>16</v>
      </c>
      <c r="E213" s="24" t="s">
        <v>673</v>
      </c>
      <c r="F213" s="22" t="s">
        <v>846</v>
      </c>
      <c r="G213" s="22" t="s">
        <v>44</v>
      </c>
      <c r="H213" s="22" t="s">
        <v>21</v>
      </c>
      <c r="I213" s="22" t="s">
        <v>21</v>
      </c>
      <c r="J213" s="22" t="s">
        <v>132</v>
      </c>
      <c r="K213" s="22" t="s">
        <v>847</v>
      </c>
      <c r="L213" s="23" t="s">
        <v>848</v>
      </c>
      <c r="M213" s="48"/>
      <c r="N213" s="35" t="str">
        <f t="shared" si="7"/>
        <v>furikomiRuleA006</v>
      </c>
    </row>
    <row r="214" spans="2:14" ht="56.25">
      <c r="B214" s="28" t="s">
        <v>849</v>
      </c>
      <c r="C214" s="37" t="s">
        <v>16</v>
      </c>
      <c r="D214" s="37" t="s">
        <v>16</v>
      </c>
      <c r="E214" s="24" t="s">
        <v>850</v>
      </c>
      <c r="F214" s="22" t="s">
        <v>851</v>
      </c>
      <c r="G214" s="22" t="s">
        <v>44</v>
      </c>
      <c r="H214" s="22" t="s">
        <v>139</v>
      </c>
      <c r="I214" s="22" t="s">
        <v>139</v>
      </c>
      <c r="J214" s="22" t="s">
        <v>852</v>
      </c>
      <c r="K214" s="23" t="s">
        <v>853</v>
      </c>
      <c r="L214" s="23" t="s">
        <v>854</v>
      </c>
      <c r="M214" s="48"/>
      <c r="N214" s="35" t="str">
        <f t="shared" si="7"/>
        <v>ouinFormat</v>
      </c>
    </row>
    <row r="215" spans="2:14" ht="56.25">
      <c r="B215" s="21"/>
      <c r="C215" s="37" t="s">
        <v>16</v>
      </c>
      <c r="D215" s="37" t="s">
        <v>16</v>
      </c>
      <c r="E215" s="24" t="s">
        <v>855</v>
      </c>
      <c r="F215" s="22" t="s">
        <v>856</v>
      </c>
      <c r="G215" s="22" t="s">
        <v>44</v>
      </c>
      <c r="H215" s="22" t="s">
        <v>139</v>
      </c>
      <c r="I215" s="22" t="s">
        <v>139</v>
      </c>
      <c r="J215" s="22" t="s">
        <v>857</v>
      </c>
      <c r="K215" s="23" t="s">
        <v>858</v>
      </c>
      <c r="L215" s="23" t="s">
        <v>859</v>
      </c>
      <c r="M215" s="48"/>
      <c r="N215" s="35" t="str">
        <f t="shared" si="7"/>
        <v>ouinNaiyou</v>
      </c>
    </row>
    <row r="216" spans="2:14" ht="33.75">
      <c r="B216" s="21"/>
      <c r="C216" s="37" t="s">
        <v>16</v>
      </c>
      <c r="D216" s="37" t="s">
        <v>16</v>
      </c>
      <c r="E216" s="24" t="s">
        <v>860</v>
      </c>
      <c r="F216" s="22" t="s">
        <v>861</v>
      </c>
      <c r="G216" s="22" t="s">
        <v>44</v>
      </c>
      <c r="H216" s="22" t="s">
        <v>139</v>
      </c>
      <c r="I216" s="22" t="s">
        <v>139</v>
      </c>
      <c r="J216" s="22" t="s">
        <v>60</v>
      </c>
      <c r="K216" s="23" t="s">
        <v>862</v>
      </c>
      <c r="L216" s="23" t="s">
        <v>863</v>
      </c>
      <c r="M216" s="48"/>
      <c r="N216" s="35" t="str">
        <f t="shared" si="7"/>
        <v>inei</v>
      </c>
    </row>
    <row r="217" spans="2:14" ht="33.75">
      <c r="B217" s="21"/>
      <c r="C217" s="37" t="s">
        <v>16</v>
      </c>
      <c r="D217" s="37" t="s">
        <v>16</v>
      </c>
      <c r="E217" s="24" t="s">
        <v>864</v>
      </c>
      <c r="F217" s="22" t="s">
        <v>865</v>
      </c>
      <c r="G217" s="22" t="s">
        <v>139</v>
      </c>
      <c r="H217" s="22" t="s">
        <v>139</v>
      </c>
      <c r="I217" s="22" t="s">
        <v>139</v>
      </c>
      <c r="J217" s="22" t="s">
        <v>866</v>
      </c>
      <c r="K217" s="23" t="s">
        <v>867</v>
      </c>
      <c r="L217" s="23" t="s">
        <v>868</v>
      </c>
      <c r="M217" s="48"/>
      <c r="N217" s="35" t="str">
        <f t="shared" si="7"/>
        <v>ouinSize</v>
      </c>
    </row>
    <row r="218" spans="2:14" ht="33.75">
      <c r="B218" s="21"/>
      <c r="C218" s="37" t="s">
        <v>16</v>
      </c>
      <c r="D218" s="37" t="s">
        <v>16</v>
      </c>
      <c r="E218" s="29" t="s">
        <v>869</v>
      </c>
      <c r="F218" s="27" t="s">
        <v>870</v>
      </c>
      <c r="G218" s="27" t="s">
        <v>44</v>
      </c>
      <c r="H218" s="22" t="s">
        <v>21</v>
      </c>
      <c r="I218" s="22" t="s">
        <v>21</v>
      </c>
      <c r="J218" s="22" t="s">
        <v>60</v>
      </c>
      <c r="K218" s="30" t="s">
        <v>871</v>
      </c>
      <c r="L218" s="30" t="s">
        <v>872</v>
      </c>
      <c r="M218" s="49"/>
      <c r="N218" s="35" t="str">
        <f t="shared" si="7"/>
        <v>filenameOut</v>
      </c>
    </row>
    <row r="219" spans="2:14" ht="33.75">
      <c r="B219" s="21"/>
      <c r="C219" s="37" t="s">
        <v>16</v>
      </c>
      <c r="D219" s="37" t="s">
        <v>16</v>
      </c>
      <c r="E219" s="29" t="s">
        <v>873</v>
      </c>
      <c r="F219" s="27" t="s">
        <v>874</v>
      </c>
      <c r="G219" s="27" t="s">
        <v>44</v>
      </c>
      <c r="H219" s="22" t="s">
        <v>21</v>
      </c>
      <c r="I219" s="22" t="s">
        <v>21</v>
      </c>
      <c r="J219" s="22" t="s">
        <v>60</v>
      </c>
      <c r="K219" s="30" t="s">
        <v>875</v>
      </c>
      <c r="L219" s="30" t="s">
        <v>876</v>
      </c>
      <c r="M219" s="49"/>
      <c r="N219" s="35" t="str">
        <f t="shared" si="7"/>
        <v>sokyuInsatsu</v>
      </c>
    </row>
    <row r="220" spans="2:14" ht="33.75">
      <c r="B220" s="21"/>
      <c r="C220" s="37" t="s">
        <v>16</v>
      </c>
      <c r="D220" s="37" t="s">
        <v>16</v>
      </c>
      <c r="E220" s="24" t="s">
        <v>877</v>
      </c>
      <c r="F220" s="22" t="s">
        <v>878</v>
      </c>
      <c r="G220" s="22" t="s">
        <v>44</v>
      </c>
      <c r="H220" s="22" t="s">
        <v>21</v>
      </c>
      <c r="I220" s="22" t="s">
        <v>21</v>
      </c>
      <c r="J220" s="22" t="s">
        <v>60</v>
      </c>
      <c r="K220" s="23" t="s">
        <v>879</v>
      </c>
      <c r="L220" s="23" t="s">
        <v>880</v>
      </c>
      <c r="M220" s="49"/>
      <c r="N220" s="35" t="str">
        <f t="shared" si="7"/>
        <v>keihimeisaiBumon</v>
      </c>
    </row>
    <row r="221" spans="2:14" ht="33.75">
      <c r="B221" s="21"/>
      <c r="C221" s="37" t="s">
        <v>16</v>
      </c>
      <c r="D221" s="37" t="s">
        <v>16</v>
      </c>
      <c r="E221" s="24" t="s">
        <v>881</v>
      </c>
      <c r="F221" s="22" t="s">
        <v>882</v>
      </c>
      <c r="G221" s="22" t="s">
        <v>44</v>
      </c>
      <c r="H221" s="22" t="s">
        <v>21</v>
      </c>
      <c r="I221" s="22" t="s">
        <v>21</v>
      </c>
      <c r="J221" s="22" t="s">
        <v>60</v>
      </c>
      <c r="K221" s="23" t="s">
        <v>883</v>
      </c>
      <c r="L221" s="23" t="s">
        <v>884</v>
      </c>
      <c r="M221" s="49"/>
      <c r="N221" s="35" t="str">
        <f t="shared" si="7"/>
        <v>keihimeisaiEdano</v>
      </c>
    </row>
    <row r="222" spans="2:14" ht="33.75">
      <c r="B222" s="31"/>
      <c r="C222" s="37" t="s">
        <v>16</v>
      </c>
      <c r="D222" s="37" t="s">
        <v>16</v>
      </c>
      <c r="E222" s="29" t="s">
        <v>885</v>
      </c>
      <c r="F222" s="27" t="s">
        <v>886</v>
      </c>
      <c r="G222" s="22" t="s">
        <v>21</v>
      </c>
      <c r="H222" s="22" t="s">
        <v>21</v>
      </c>
      <c r="I222" s="22" t="s">
        <v>21</v>
      </c>
      <c r="J222" s="22" t="s">
        <v>113</v>
      </c>
      <c r="K222" s="30" t="s">
        <v>887</v>
      </c>
      <c r="L222" s="23" t="s">
        <v>888</v>
      </c>
      <c r="M222" s="49"/>
      <c r="N222" s="35" t="str">
        <f t="shared" si="7"/>
        <v>keihimeisaiSecurityPsettei</v>
      </c>
    </row>
    <row r="223" spans="2:14" ht="45">
      <c r="B223" s="21" t="s">
        <v>889</v>
      </c>
      <c r="C223" s="37"/>
      <c r="D223" s="37" t="s">
        <v>16</v>
      </c>
      <c r="E223" s="24" t="s">
        <v>890</v>
      </c>
      <c r="F223" s="22" t="s">
        <v>891</v>
      </c>
      <c r="G223" s="22" t="s">
        <v>44</v>
      </c>
      <c r="H223" s="22" t="s">
        <v>21</v>
      </c>
      <c r="I223" s="22" t="s">
        <v>21</v>
      </c>
      <c r="J223" s="22" t="s">
        <v>132</v>
      </c>
      <c r="K223" s="23" t="s">
        <v>892</v>
      </c>
      <c r="L223" s="23" t="s">
        <v>893</v>
      </c>
      <c r="M223" s="48"/>
      <c r="N223" s="35" t="str">
        <f t="shared" si="7"/>
        <v>ebunshoEnableFlg</v>
      </c>
    </row>
    <row r="224" spans="2:14" ht="56.25">
      <c r="B224" s="21"/>
      <c r="C224" s="37"/>
      <c r="D224" s="37" t="s">
        <v>16</v>
      </c>
      <c r="E224" s="24" t="s">
        <v>894</v>
      </c>
      <c r="F224" s="22" t="s">
        <v>895</v>
      </c>
      <c r="G224" s="22" t="s">
        <v>44</v>
      </c>
      <c r="H224" s="22" t="s">
        <v>21</v>
      </c>
      <c r="I224" s="22" t="s">
        <v>21</v>
      </c>
      <c r="J224" s="22" t="s">
        <v>60</v>
      </c>
      <c r="K224" s="23" t="s">
        <v>896</v>
      </c>
      <c r="L224" s="23" t="s">
        <v>897</v>
      </c>
      <c r="M224" s="61"/>
      <c r="N224" s="35" t="str">
        <f t="shared" si="7"/>
        <v>ebunshoTaishouCheckDefault</v>
      </c>
    </row>
    <row r="225" spans="2:14" ht="56.25">
      <c r="B225" s="21"/>
      <c r="C225" s="37"/>
      <c r="D225" s="37" t="s">
        <v>16</v>
      </c>
      <c r="E225" s="24" t="s">
        <v>898</v>
      </c>
      <c r="F225" s="22" t="s">
        <v>899</v>
      </c>
      <c r="G225" s="22" t="s">
        <v>44</v>
      </c>
      <c r="H225" s="22" t="s">
        <v>21</v>
      </c>
      <c r="I225" s="22" t="s">
        <v>21</v>
      </c>
      <c r="J225" s="22" t="s">
        <v>60</v>
      </c>
      <c r="K225" s="23" t="s">
        <v>900</v>
      </c>
      <c r="L225" s="23" t="s">
        <v>901</v>
      </c>
      <c r="M225" s="61"/>
      <c r="N225" s="35" t="str">
        <f t="shared" ref="N225" si="9">LOWER(LEFT(K225,1))&amp;MID(SUBSTITUTE(PROPER(K225),"_",""),2,LEN(K225))</f>
        <v>ebunshoDenshitsCheckDefault</v>
      </c>
    </row>
    <row r="226" spans="2:14" ht="33.75">
      <c r="B226" s="21"/>
      <c r="C226" s="37"/>
      <c r="D226" s="37" t="s">
        <v>16</v>
      </c>
      <c r="E226" s="24" t="s">
        <v>902</v>
      </c>
      <c r="F226" s="22" t="s">
        <v>903</v>
      </c>
      <c r="G226" s="22" t="s">
        <v>44</v>
      </c>
      <c r="H226" s="22" t="s">
        <v>21</v>
      </c>
      <c r="I226" s="22" t="s">
        <v>21</v>
      </c>
      <c r="J226" s="22" t="s">
        <v>60</v>
      </c>
      <c r="K226" s="23" t="s">
        <v>904</v>
      </c>
      <c r="L226" s="23" t="s">
        <v>905</v>
      </c>
      <c r="M226" s="48"/>
      <c r="N226" s="35" t="str">
        <f t="shared" si="7"/>
        <v>ebunshoSeiseiA001</v>
      </c>
    </row>
    <row r="227" spans="2:14" ht="109.9" customHeight="1">
      <c r="B227" s="21"/>
      <c r="C227" s="37"/>
      <c r="D227" s="37" t="s">
        <v>16</v>
      </c>
      <c r="E227" s="24" t="s">
        <v>906</v>
      </c>
      <c r="F227" s="22" t="s">
        <v>907</v>
      </c>
      <c r="G227" s="22" t="s">
        <v>44</v>
      </c>
      <c r="H227" s="22" t="s">
        <v>21</v>
      </c>
      <c r="I227" s="22" t="s">
        <v>21</v>
      </c>
      <c r="J227" s="22"/>
      <c r="K227" s="23" t="s">
        <v>908</v>
      </c>
      <c r="L227" s="23" t="s">
        <v>909</v>
      </c>
      <c r="M227" s="48" t="s">
        <v>910</v>
      </c>
      <c r="N227" s="35" t="str">
        <f>LOWER(LEFT(K227,1))&amp;MID(SUBSTITUTE(PROPER(K227),"_",""),2,LEN(K227))</f>
        <v>ebunshoShubetsuA001</v>
      </c>
    </row>
    <row r="228" spans="2:14" ht="33.75">
      <c r="B228" s="21"/>
      <c r="C228" s="37"/>
      <c r="D228" s="37" t="s">
        <v>16</v>
      </c>
      <c r="E228" s="24" t="s">
        <v>911</v>
      </c>
      <c r="F228" s="22" t="s">
        <v>912</v>
      </c>
      <c r="G228" s="22" t="s">
        <v>44</v>
      </c>
      <c r="H228" s="22" t="s">
        <v>21</v>
      </c>
      <c r="I228" s="22" t="s">
        <v>21</v>
      </c>
      <c r="J228" s="22" t="s">
        <v>60</v>
      </c>
      <c r="K228" s="23" t="s">
        <v>913</v>
      </c>
      <c r="L228" s="23" t="s">
        <v>914</v>
      </c>
      <c r="M228" s="48"/>
      <c r="N228" s="35" t="str">
        <f t="shared" ref="N228" si="10">LOWER(LEFT(K228,1))&amp;MID(SUBSTITUTE(PROPER(K228),"_",""),2,LEN(K228))</f>
        <v>ebunshoSeiseiA002</v>
      </c>
    </row>
    <row r="229" spans="2:14" ht="109.9" customHeight="1">
      <c r="B229" s="21"/>
      <c r="C229" s="37"/>
      <c r="D229" s="37" t="s">
        <v>16</v>
      </c>
      <c r="E229" s="24" t="s">
        <v>915</v>
      </c>
      <c r="F229" s="22" t="s">
        <v>916</v>
      </c>
      <c r="G229" s="22" t="s">
        <v>44</v>
      </c>
      <c r="H229" s="22" t="s">
        <v>21</v>
      </c>
      <c r="I229" s="22" t="s">
        <v>21</v>
      </c>
      <c r="J229" s="22"/>
      <c r="K229" s="23" t="s">
        <v>917</v>
      </c>
      <c r="L229" s="23" t="s">
        <v>918</v>
      </c>
      <c r="M229" s="48" t="s">
        <v>910</v>
      </c>
      <c r="N229" s="35" t="str">
        <f>LOWER(LEFT(K229,1))&amp;MID(SUBSTITUTE(PROPER(K229),"_",""),2,LEN(K229))</f>
        <v>ebunshoShubetsuA002</v>
      </c>
    </row>
    <row r="230" spans="2:14" ht="33.75">
      <c r="B230" s="21"/>
      <c r="C230" s="37"/>
      <c r="D230" s="37" t="s">
        <v>16</v>
      </c>
      <c r="E230" s="24" t="s">
        <v>919</v>
      </c>
      <c r="F230" s="22" t="s">
        <v>920</v>
      </c>
      <c r="G230" s="22" t="s">
        <v>44</v>
      </c>
      <c r="H230" s="22" t="s">
        <v>21</v>
      </c>
      <c r="I230" s="22" t="s">
        <v>21</v>
      </c>
      <c r="J230" s="22" t="s">
        <v>60</v>
      </c>
      <c r="K230" s="23" t="s">
        <v>921</v>
      </c>
      <c r="L230" s="23" t="s">
        <v>922</v>
      </c>
      <c r="M230" s="48"/>
      <c r="N230" s="35" t="str">
        <f t="shared" ref="N230" si="11">LOWER(LEFT(K230,1))&amp;MID(SUBSTITUTE(PROPER(K230),"_",""),2,LEN(K230))</f>
        <v>ebunshoSeiseiA003</v>
      </c>
    </row>
    <row r="231" spans="2:14" ht="109.9" customHeight="1">
      <c r="B231" s="21"/>
      <c r="C231" s="37"/>
      <c r="D231" s="37" t="s">
        <v>16</v>
      </c>
      <c r="E231" s="24" t="s">
        <v>923</v>
      </c>
      <c r="F231" s="22" t="s">
        <v>924</v>
      </c>
      <c r="G231" s="22" t="s">
        <v>44</v>
      </c>
      <c r="H231" s="22" t="s">
        <v>21</v>
      </c>
      <c r="I231" s="22" t="s">
        <v>21</v>
      </c>
      <c r="J231" s="22"/>
      <c r="K231" s="23" t="s">
        <v>925</v>
      </c>
      <c r="L231" s="23" t="s">
        <v>926</v>
      </c>
      <c r="M231" s="48" t="s">
        <v>910</v>
      </c>
      <c r="N231" s="35" t="str">
        <f>LOWER(LEFT(K231,1))&amp;MID(SUBSTITUTE(PROPER(K231),"_",""),2,LEN(K231))</f>
        <v>ebunshoShubetsuA003</v>
      </c>
    </row>
    <row r="232" spans="2:14" ht="33.75">
      <c r="B232" s="21"/>
      <c r="C232" s="37"/>
      <c r="D232" s="37" t="s">
        <v>16</v>
      </c>
      <c r="E232" s="24" t="s">
        <v>828</v>
      </c>
      <c r="F232" s="22" t="s">
        <v>927</v>
      </c>
      <c r="G232" s="22" t="s">
        <v>44</v>
      </c>
      <c r="H232" s="22" t="s">
        <v>21</v>
      </c>
      <c r="I232" s="22" t="s">
        <v>21</v>
      </c>
      <c r="J232" s="22" t="s">
        <v>60</v>
      </c>
      <c r="K232" s="23" t="s">
        <v>928</v>
      </c>
      <c r="L232" s="23" t="s">
        <v>929</v>
      </c>
      <c r="M232" s="48"/>
      <c r="N232" s="35" t="str">
        <f t="shared" ref="N232:N242" si="12">LOWER(LEFT(K232,1))&amp;MID(SUBSTITUTE(PROPER(K232),"_",""),2,LEN(K232))</f>
        <v>ebunshoSeiseiA004</v>
      </c>
    </row>
    <row r="233" spans="2:14" ht="109.9" customHeight="1">
      <c r="B233" s="21"/>
      <c r="C233" s="37"/>
      <c r="D233" s="37" t="s">
        <v>16</v>
      </c>
      <c r="E233" s="24" t="s">
        <v>930</v>
      </c>
      <c r="F233" s="22" t="s">
        <v>931</v>
      </c>
      <c r="G233" s="22" t="s">
        <v>44</v>
      </c>
      <c r="H233" s="22" t="s">
        <v>21</v>
      </c>
      <c r="I233" s="22" t="s">
        <v>21</v>
      </c>
      <c r="J233" s="22"/>
      <c r="K233" s="23" t="s">
        <v>932</v>
      </c>
      <c r="L233" s="23" t="s">
        <v>933</v>
      </c>
      <c r="M233" s="48" t="s">
        <v>910</v>
      </c>
      <c r="N233" s="35" t="str">
        <f t="shared" si="12"/>
        <v>ebunshoShubetsuA004</v>
      </c>
    </row>
    <row r="234" spans="2:14" ht="33.75">
      <c r="B234" s="21"/>
      <c r="C234" s="37"/>
      <c r="D234" s="37" t="s">
        <v>16</v>
      </c>
      <c r="E234" s="24" t="s">
        <v>582</v>
      </c>
      <c r="F234" s="22" t="s">
        <v>934</v>
      </c>
      <c r="G234" s="22" t="s">
        <v>44</v>
      </c>
      <c r="H234" s="22" t="s">
        <v>21</v>
      </c>
      <c r="I234" s="22" t="s">
        <v>21</v>
      </c>
      <c r="J234" s="22" t="s">
        <v>60</v>
      </c>
      <c r="K234" s="23" t="s">
        <v>935</v>
      </c>
      <c r="L234" s="23" t="s">
        <v>936</v>
      </c>
      <c r="M234" s="48"/>
      <c r="N234" s="35" t="str">
        <f t="shared" si="12"/>
        <v>ebunshoSeiseiA005</v>
      </c>
    </row>
    <row r="235" spans="2:14" ht="109.9" customHeight="1">
      <c r="B235" s="21"/>
      <c r="C235" s="37"/>
      <c r="D235" s="37" t="s">
        <v>16</v>
      </c>
      <c r="E235" s="24" t="s">
        <v>937</v>
      </c>
      <c r="F235" s="22" t="s">
        <v>938</v>
      </c>
      <c r="G235" s="22" t="s">
        <v>44</v>
      </c>
      <c r="H235" s="22" t="s">
        <v>21</v>
      </c>
      <c r="I235" s="22" t="s">
        <v>21</v>
      </c>
      <c r="J235" s="22"/>
      <c r="K235" s="23" t="s">
        <v>939</v>
      </c>
      <c r="L235" s="23" t="s">
        <v>940</v>
      </c>
      <c r="M235" s="48" t="s">
        <v>910</v>
      </c>
      <c r="N235" s="35" t="str">
        <f t="shared" si="12"/>
        <v>ebunshoShubetsuA005</v>
      </c>
    </row>
    <row r="236" spans="2:14" ht="33.75">
      <c r="B236" s="21"/>
      <c r="C236" s="37"/>
      <c r="D236" s="37" t="s">
        <v>16</v>
      </c>
      <c r="E236" s="24" t="s">
        <v>941</v>
      </c>
      <c r="F236" s="22" t="s">
        <v>942</v>
      </c>
      <c r="G236" s="22" t="s">
        <v>44</v>
      </c>
      <c r="H236" s="22" t="s">
        <v>21</v>
      </c>
      <c r="I236" s="22" t="s">
        <v>21</v>
      </c>
      <c r="J236" s="22" t="s">
        <v>60</v>
      </c>
      <c r="K236" s="23" t="s">
        <v>943</v>
      </c>
      <c r="L236" s="23" t="s">
        <v>944</v>
      </c>
      <c r="M236" s="48"/>
      <c r="N236" s="35" t="str">
        <f t="shared" si="12"/>
        <v>ebunshoSeiseiA006</v>
      </c>
    </row>
    <row r="237" spans="2:14" ht="109.9" customHeight="1">
      <c r="B237" s="21"/>
      <c r="C237" s="37"/>
      <c r="D237" s="37" t="s">
        <v>16</v>
      </c>
      <c r="E237" s="24" t="s">
        <v>945</v>
      </c>
      <c r="F237" s="22" t="s">
        <v>946</v>
      </c>
      <c r="G237" s="22" t="s">
        <v>44</v>
      </c>
      <c r="H237" s="22" t="s">
        <v>21</v>
      </c>
      <c r="I237" s="22" t="s">
        <v>21</v>
      </c>
      <c r="J237" s="22"/>
      <c r="K237" s="23" t="s">
        <v>947</v>
      </c>
      <c r="L237" s="23" t="s">
        <v>948</v>
      </c>
      <c r="M237" s="48" t="s">
        <v>910</v>
      </c>
      <c r="N237" s="35" t="str">
        <f t="shared" si="12"/>
        <v>ebunshoShubetsuA006</v>
      </c>
    </row>
    <row r="238" spans="2:14" ht="33.75">
      <c r="B238" s="21"/>
      <c r="C238" s="37"/>
      <c r="D238" s="37" t="s">
        <v>16</v>
      </c>
      <c r="E238" s="24" t="s">
        <v>677</v>
      </c>
      <c r="F238" s="22" t="s">
        <v>949</v>
      </c>
      <c r="G238" s="22" t="s">
        <v>44</v>
      </c>
      <c r="H238" s="22" t="s">
        <v>21</v>
      </c>
      <c r="I238" s="22" t="s">
        <v>21</v>
      </c>
      <c r="J238" s="22" t="s">
        <v>60</v>
      </c>
      <c r="K238" s="23" t="s">
        <v>950</v>
      </c>
      <c r="L238" s="23" t="s">
        <v>951</v>
      </c>
      <c r="M238" s="48"/>
      <c r="N238" s="35" t="str">
        <f t="shared" si="12"/>
        <v>ebunshoSeiseiA009</v>
      </c>
    </row>
    <row r="239" spans="2:14" ht="109.9" customHeight="1">
      <c r="B239" s="21"/>
      <c r="C239" s="37"/>
      <c r="D239" s="37" t="s">
        <v>16</v>
      </c>
      <c r="E239" s="24" t="s">
        <v>952</v>
      </c>
      <c r="F239" s="22" t="s">
        <v>953</v>
      </c>
      <c r="G239" s="22" t="s">
        <v>44</v>
      </c>
      <c r="H239" s="22" t="s">
        <v>21</v>
      </c>
      <c r="I239" s="22" t="s">
        <v>21</v>
      </c>
      <c r="J239" s="22"/>
      <c r="K239" s="23" t="s">
        <v>954</v>
      </c>
      <c r="L239" s="23" t="s">
        <v>955</v>
      </c>
      <c r="M239" s="48" t="s">
        <v>910</v>
      </c>
      <c r="N239" s="35" t="str">
        <f t="shared" si="12"/>
        <v>ebunshoShubetsuA009</v>
      </c>
    </row>
    <row r="240" spans="2:14" ht="33.75">
      <c r="B240" s="25"/>
      <c r="C240" s="26"/>
      <c r="D240" s="37" t="s">
        <v>16</v>
      </c>
      <c r="E240" s="24" t="s">
        <v>842</v>
      </c>
      <c r="F240" s="22" t="s">
        <v>956</v>
      </c>
      <c r="G240" s="22" t="s">
        <v>44</v>
      </c>
      <c r="H240" s="22" t="s">
        <v>21</v>
      </c>
      <c r="I240" s="22" t="s">
        <v>21</v>
      </c>
      <c r="J240" s="22" t="s">
        <v>60</v>
      </c>
      <c r="K240" s="23" t="s">
        <v>957</v>
      </c>
      <c r="L240" s="23" t="s">
        <v>958</v>
      </c>
      <c r="M240" s="49"/>
      <c r="N240" s="35" t="str">
        <f t="shared" si="12"/>
        <v>ebunshoSeiseiA010</v>
      </c>
    </row>
    <row r="241" spans="2:14" ht="123.6" customHeight="1">
      <c r="B241" s="21"/>
      <c r="C241" s="37"/>
      <c r="D241" s="37" t="s">
        <v>16</v>
      </c>
      <c r="E241" s="24" t="s">
        <v>959</v>
      </c>
      <c r="F241" s="22" t="s">
        <v>960</v>
      </c>
      <c r="G241" s="22" t="s">
        <v>44</v>
      </c>
      <c r="H241" s="22" t="s">
        <v>21</v>
      </c>
      <c r="I241" s="22" t="s">
        <v>21</v>
      </c>
      <c r="J241" s="22"/>
      <c r="K241" s="23" t="s">
        <v>961</v>
      </c>
      <c r="L241" s="23" t="s">
        <v>962</v>
      </c>
      <c r="M241" s="48" t="s">
        <v>910</v>
      </c>
      <c r="N241" s="35" t="str">
        <f t="shared" si="12"/>
        <v>ebunshoShubetsuA010</v>
      </c>
    </row>
    <row r="242" spans="2:14" ht="33.75">
      <c r="B242" s="25"/>
      <c r="C242" s="26"/>
      <c r="D242" s="26" t="s">
        <v>16</v>
      </c>
      <c r="E242" s="29" t="s">
        <v>835</v>
      </c>
      <c r="F242" s="27" t="s">
        <v>963</v>
      </c>
      <c r="G242" s="27" t="s">
        <v>44</v>
      </c>
      <c r="H242" s="27" t="s">
        <v>21</v>
      </c>
      <c r="I242" s="27" t="s">
        <v>21</v>
      </c>
      <c r="J242" s="27" t="s">
        <v>60</v>
      </c>
      <c r="K242" s="30" t="s">
        <v>964</v>
      </c>
      <c r="L242" s="30" t="s">
        <v>965</v>
      </c>
      <c r="M242" s="49"/>
      <c r="N242" s="35" t="str">
        <f t="shared" si="12"/>
        <v>ebunshoSeiseiA011</v>
      </c>
    </row>
    <row r="243" spans="2:14" ht="123.6" customHeight="1">
      <c r="B243" s="21"/>
      <c r="C243" s="37"/>
      <c r="D243" s="37" t="s">
        <v>16</v>
      </c>
      <c r="E243" s="24" t="s">
        <v>966</v>
      </c>
      <c r="F243" s="22" t="s">
        <v>967</v>
      </c>
      <c r="G243" s="22" t="s">
        <v>44</v>
      </c>
      <c r="H243" s="22" t="s">
        <v>21</v>
      </c>
      <c r="I243" s="22" t="s">
        <v>21</v>
      </c>
      <c r="J243" s="22"/>
      <c r="K243" s="23" t="s">
        <v>968</v>
      </c>
      <c r="L243" s="23" t="s">
        <v>969</v>
      </c>
      <c r="M243" s="48" t="s">
        <v>910</v>
      </c>
      <c r="N243" s="35" t="str">
        <f>LOWER(LEFT(K243,1))&amp;MID(SUBSTITUTE(PROPER(K243),"_",""),2,LEN(K243))</f>
        <v>ebunshoShubetsuA011</v>
      </c>
    </row>
    <row r="244" spans="2:14" ht="33.75">
      <c r="B244" s="25"/>
      <c r="C244" s="26"/>
      <c r="D244" s="26" t="s">
        <v>16</v>
      </c>
      <c r="E244" s="29" t="s">
        <v>588</v>
      </c>
      <c r="F244" s="27" t="s">
        <v>970</v>
      </c>
      <c r="G244" s="27" t="s">
        <v>44</v>
      </c>
      <c r="H244" s="27" t="s">
        <v>21</v>
      </c>
      <c r="I244" s="27" t="s">
        <v>21</v>
      </c>
      <c r="J244" s="27" t="s">
        <v>60</v>
      </c>
      <c r="K244" s="30" t="s">
        <v>971</v>
      </c>
      <c r="L244" s="30" t="s">
        <v>972</v>
      </c>
      <c r="M244" s="49"/>
      <c r="N244" s="35" t="str">
        <f t="shared" ref="N244" si="13">LOWER(LEFT(K244,1))&amp;MID(SUBSTITUTE(PROPER(K244),"_",""),2,LEN(K244))</f>
        <v>ebunshoSeiseiA012</v>
      </c>
    </row>
    <row r="245" spans="2:14" ht="123.6" customHeight="1">
      <c r="B245" s="21"/>
      <c r="C245" s="37"/>
      <c r="D245" s="37" t="s">
        <v>16</v>
      </c>
      <c r="E245" s="24" t="s">
        <v>973</v>
      </c>
      <c r="F245" s="22" t="s">
        <v>974</v>
      </c>
      <c r="G245" s="22" t="s">
        <v>44</v>
      </c>
      <c r="H245" s="22" t="s">
        <v>21</v>
      </c>
      <c r="I245" s="22" t="s">
        <v>21</v>
      </c>
      <c r="J245" s="22"/>
      <c r="K245" s="23" t="s">
        <v>975</v>
      </c>
      <c r="L245" s="23" t="s">
        <v>976</v>
      </c>
      <c r="M245" s="48" t="s">
        <v>910</v>
      </c>
      <c r="N245" s="35" t="str">
        <f>LOWER(LEFT(K245,1))&amp;MID(SUBSTITUTE(PROPER(K245),"_",""),2,LEN(K245))</f>
        <v>ebunshoShubetsuA012</v>
      </c>
    </row>
    <row r="246" spans="2:14" ht="33.75">
      <c r="B246" s="25"/>
      <c r="C246" s="26"/>
      <c r="D246" s="26" t="s">
        <v>16</v>
      </c>
      <c r="E246" s="29" t="s">
        <v>573</v>
      </c>
      <c r="F246" s="27" t="s">
        <v>977</v>
      </c>
      <c r="G246" s="27" t="s">
        <v>44</v>
      </c>
      <c r="H246" s="27" t="s">
        <v>21</v>
      </c>
      <c r="I246" s="27" t="s">
        <v>21</v>
      </c>
      <c r="J246" s="27" t="s">
        <v>60</v>
      </c>
      <c r="K246" s="30" t="s">
        <v>978</v>
      </c>
      <c r="L246" s="30" t="s">
        <v>979</v>
      </c>
      <c r="M246" s="49"/>
      <c r="N246" s="35" t="str">
        <f t="shared" ref="N246" si="14">LOWER(LEFT(K246,1))&amp;MID(SUBSTITUTE(PROPER(K246),"_",""),2,LEN(K246))</f>
        <v>ebunshoSeiseiA013</v>
      </c>
    </row>
    <row r="247" spans="2:14" ht="123.6" customHeight="1">
      <c r="B247" s="21"/>
      <c r="C247" s="37"/>
      <c r="D247" s="37" t="s">
        <v>16</v>
      </c>
      <c r="E247" s="24" t="s">
        <v>980</v>
      </c>
      <c r="F247" s="22" t="s">
        <v>981</v>
      </c>
      <c r="G247" s="22" t="s">
        <v>44</v>
      </c>
      <c r="H247" s="22" t="s">
        <v>21</v>
      </c>
      <c r="I247" s="22" t="s">
        <v>21</v>
      </c>
      <c r="J247" s="22"/>
      <c r="K247" s="23" t="s">
        <v>982</v>
      </c>
      <c r="L247" s="23" t="s">
        <v>983</v>
      </c>
      <c r="M247" s="48" t="s">
        <v>910</v>
      </c>
      <c r="N247" s="35" t="str">
        <f>LOWER(LEFT(K247,1))&amp;MID(SUBSTITUTE(PROPER(K247),"_",""),2,LEN(K247))</f>
        <v>ebunshoShubetsuA013</v>
      </c>
    </row>
    <row r="248" spans="2:14" ht="33.75">
      <c r="B248" s="25"/>
      <c r="C248" s="26"/>
      <c r="D248" s="26" t="s">
        <v>16</v>
      </c>
      <c r="E248" s="29" t="s">
        <v>984</v>
      </c>
      <c r="F248" s="27" t="s">
        <v>985</v>
      </c>
      <c r="G248" s="27" t="s">
        <v>44</v>
      </c>
      <c r="H248" s="27" t="s">
        <v>21</v>
      </c>
      <c r="I248" s="27" t="s">
        <v>21</v>
      </c>
      <c r="J248" s="27" t="s">
        <v>60</v>
      </c>
      <c r="K248" s="30" t="s">
        <v>986</v>
      </c>
      <c r="L248" s="30" t="s">
        <v>987</v>
      </c>
      <c r="M248" s="49"/>
      <c r="N248" s="35" t="str">
        <f t="shared" ref="N248" si="15">LOWER(LEFT(K248,1))&amp;MID(SUBSTITUTE(PROPER(K248),"_",""),2,LEN(K248))</f>
        <v>ebunshoSeiseiB000</v>
      </c>
    </row>
    <row r="249" spans="2:14" ht="123.6" customHeight="1">
      <c r="B249" s="21"/>
      <c r="C249" s="37"/>
      <c r="D249" s="37" t="s">
        <v>16</v>
      </c>
      <c r="E249" s="24" t="s">
        <v>988</v>
      </c>
      <c r="F249" s="22" t="s">
        <v>989</v>
      </c>
      <c r="G249" s="22" t="s">
        <v>44</v>
      </c>
      <c r="H249" s="22" t="s">
        <v>21</v>
      </c>
      <c r="I249" s="22" t="s">
        <v>21</v>
      </c>
      <c r="J249" s="22"/>
      <c r="K249" s="23" t="s">
        <v>990</v>
      </c>
      <c r="L249" s="23" t="s">
        <v>991</v>
      </c>
      <c r="M249" s="48" t="s">
        <v>910</v>
      </c>
      <c r="N249" s="35" t="str">
        <f>LOWER(LEFT(K249,1))&amp;MID(SUBSTITUTE(PROPER(K249),"_",""),2,LEN(K249))</f>
        <v>ebunshoShubetsuB000</v>
      </c>
    </row>
    <row r="250" spans="2:14" ht="33.75">
      <c r="B250" s="31"/>
      <c r="C250" s="37"/>
      <c r="D250" s="37" t="s">
        <v>16</v>
      </c>
      <c r="E250" s="24" t="s">
        <v>992</v>
      </c>
      <c r="F250" s="22" t="s">
        <v>993</v>
      </c>
      <c r="G250" s="22" t="s">
        <v>44</v>
      </c>
      <c r="H250" s="22" t="s">
        <v>21</v>
      </c>
      <c r="I250" s="22" t="s">
        <v>21</v>
      </c>
      <c r="J250" s="22" t="s">
        <v>60</v>
      </c>
      <c r="K250" s="23" t="s">
        <v>994</v>
      </c>
      <c r="L250" s="23" t="s">
        <v>995</v>
      </c>
      <c r="M250" s="48"/>
      <c r="N250" s="35" t="str">
        <f t="shared" ref="N250:N327" si="16">LOWER(LEFT(K250,1))&amp;MID(SUBSTITUTE(PROPER(K250),"_",""),2,LEN(K250))</f>
        <v>ebunshoCompressFlg</v>
      </c>
    </row>
    <row r="251" spans="2:14" ht="45">
      <c r="B251" s="21" t="s">
        <v>996</v>
      </c>
      <c r="C251" s="37" t="s">
        <v>16</v>
      </c>
      <c r="D251" s="37" t="s">
        <v>16</v>
      </c>
      <c r="E251" s="24" t="s">
        <v>997</v>
      </c>
      <c r="F251" s="22" t="s">
        <v>998</v>
      </c>
      <c r="G251" s="22" t="s">
        <v>44</v>
      </c>
      <c r="H251" s="22" t="s">
        <v>21</v>
      </c>
      <c r="I251" s="22" t="s">
        <v>21</v>
      </c>
      <c r="J251" s="22" t="s">
        <v>60</v>
      </c>
      <c r="K251" s="23" t="s">
        <v>999</v>
      </c>
      <c r="L251" s="23" t="s">
        <v>1000</v>
      </c>
      <c r="M251" s="48"/>
      <c r="N251" s="35" t="str">
        <f t="shared" si="16"/>
        <v>tenpuCheckA001</v>
      </c>
    </row>
    <row r="252" spans="2:14" ht="33.75">
      <c r="B252" s="21"/>
      <c r="C252" s="37" t="s">
        <v>16</v>
      </c>
      <c r="D252" s="37" t="s">
        <v>16</v>
      </c>
      <c r="E252" s="24" t="s">
        <v>1001</v>
      </c>
      <c r="F252" s="22" t="s">
        <v>1002</v>
      </c>
      <c r="G252" s="22" t="s">
        <v>44</v>
      </c>
      <c r="H252" s="22" t="s">
        <v>21</v>
      </c>
      <c r="I252" s="22" t="s">
        <v>21</v>
      </c>
      <c r="J252" s="22" t="s">
        <v>60</v>
      </c>
      <c r="K252" s="23" t="s">
        <v>1003</v>
      </c>
      <c r="L252" s="23" t="s">
        <v>1004</v>
      </c>
      <c r="M252" s="48"/>
      <c r="N252" s="35" t="str">
        <f t="shared" si="16"/>
        <v>shouhyouShoruiDefaultA001</v>
      </c>
    </row>
    <row r="253" spans="2:14" ht="45">
      <c r="B253" s="21"/>
      <c r="C253" s="37" t="s">
        <v>16</v>
      </c>
      <c r="D253" s="37" t="s">
        <v>16</v>
      </c>
      <c r="E253" s="24" t="s">
        <v>1005</v>
      </c>
      <c r="F253" s="22" t="s">
        <v>1006</v>
      </c>
      <c r="G253" s="22" t="s">
        <v>44</v>
      </c>
      <c r="H253" s="22" t="s">
        <v>21</v>
      </c>
      <c r="I253" s="22" t="s">
        <v>21</v>
      </c>
      <c r="J253" s="22" t="s">
        <v>60</v>
      </c>
      <c r="K253" s="23" t="s">
        <v>1007</v>
      </c>
      <c r="L253" s="23" t="s">
        <v>1000</v>
      </c>
      <c r="M253" s="48"/>
      <c r="N253" s="35" t="str">
        <f t="shared" si="16"/>
        <v>tenpuCheckA004</v>
      </c>
    </row>
    <row r="254" spans="2:14" ht="33.75">
      <c r="B254" s="21"/>
      <c r="C254" s="37" t="s">
        <v>16</v>
      </c>
      <c r="D254" s="37" t="s">
        <v>16</v>
      </c>
      <c r="E254" s="24" t="s">
        <v>1008</v>
      </c>
      <c r="F254" s="22" t="s">
        <v>1009</v>
      </c>
      <c r="G254" s="22" t="s">
        <v>44</v>
      </c>
      <c r="H254" s="22" t="s">
        <v>21</v>
      </c>
      <c r="I254" s="22" t="s">
        <v>21</v>
      </c>
      <c r="J254" s="22" t="s">
        <v>60</v>
      </c>
      <c r="K254" s="23" t="s">
        <v>1010</v>
      </c>
      <c r="L254" s="23" t="s">
        <v>1011</v>
      </c>
      <c r="M254" s="48"/>
      <c r="N254" s="35" t="str">
        <f t="shared" si="16"/>
        <v>shouhyouShoruiDefaultA004</v>
      </c>
    </row>
    <row r="255" spans="2:14" ht="45">
      <c r="B255" s="21"/>
      <c r="C255" s="37" t="s">
        <v>16</v>
      </c>
      <c r="D255" s="37" t="s">
        <v>16</v>
      </c>
      <c r="E255" s="24" t="s">
        <v>1012</v>
      </c>
      <c r="F255" s="22" t="s">
        <v>1013</v>
      </c>
      <c r="G255" s="22" t="s">
        <v>44</v>
      </c>
      <c r="H255" s="22" t="s">
        <v>21</v>
      </c>
      <c r="I255" s="22" t="s">
        <v>21</v>
      </c>
      <c r="J255" s="22" t="s">
        <v>60</v>
      </c>
      <c r="K255" s="23" t="s">
        <v>1014</v>
      </c>
      <c r="L255" s="23" t="s">
        <v>1000</v>
      </c>
      <c r="M255" s="48"/>
      <c r="N255" s="35" t="str">
        <f t="shared" si="16"/>
        <v>tenpuCheckA011</v>
      </c>
    </row>
    <row r="256" spans="2:14" ht="33.75">
      <c r="B256" s="21"/>
      <c r="C256" s="37" t="s">
        <v>16</v>
      </c>
      <c r="D256" s="37" t="s">
        <v>16</v>
      </c>
      <c r="E256" s="24" t="s">
        <v>1015</v>
      </c>
      <c r="F256" s="22" t="s">
        <v>1016</v>
      </c>
      <c r="G256" s="22" t="s">
        <v>44</v>
      </c>
      <c r="H256" s="22" t="s">
        <v>21</v>
      </c>
      <c r="I256" s="22" t="s">
        <v>21</v>
      </c>
      <c r="J256" s="22" t="s">
        <v>60</v>
      </c>
      <c r="K256" s="23" t="s">
        <v>1017</v>
      </c>
      <c r="L256" s="23" t="s">
        <v>1018</v>
      </c>
      <c r="M256" s="48"/>
      <c r="N256" s="35" t="str">
        <f t="shared" si="16"/>
        <v>shouhyouShoruiDefaultA011</v>
      </c>
    </row>
    <row r="257" spans="2:14" ht="45">
      <c r="B257" s="21"/>
      <c r="C257" s="26" t="s">
        <v>16</v>
      </c>
      <c r="D257" s="26" t="s">
        <v>16</v>
      </c>
      <c r="E257" s="29" t="s">
        <v>1019</v>
      </c>
      <c r="F257" s="22" t="s">
        <v>1020</v>
      </c>
      <c r="G257" s="27" t="s">
        <v>44</v>
      </c>
      <c r="H257" s="27" t="s">
        <v>21</v>
      </c>
      <c r="I257" s="27" t="s">
        <v>21</v>
      </c>
      <c r="J257" s="27" t="s">
        <v>60</v>
      </c>
      <c r="K257" s="30" t="s">
        <v>1021</v>
      </c>
      <c r="L257" s="23" t="s">
        <v>1000</v>
      </c>
      <c r="M257" s="49"/>
      <c r="N257" s="35" t="str">
        <f t="shared" si="16"/>
        <v>tenpuCheckA010</v>
      </c>
    </row>
    <row r="258" spans="2:14" ht="33.75">
      <c r="B258" s="21"/>
      <c r="C258" s="37" t="s">
        <v>16</v>
      </c>
      <c r="D258" s="37" t="s">
        <v>16</v>
      </c>
      <c r="E258" s="24" t="s">
        <v>1022</v>
      </c>
      <c r="F258" s="22" t="s">
        <v>1023</v>
      </c>
      <c r="G258" s="22" t="s">
        <v>44</v>
      </c>
      <c r="H258" s="22" t="s">
        <v>21</v>
      </c>
      <c r="I258" s="22" t="s">
        <v>21</v>
      </c>
      <c r="J258" s="22" t="s">
        <v>60</v>
      </c>
      <c r="K258" s="23" t="s">
        <v>1024</v>
      </c>
      <c r="L258" s="23" t="s">
        <v>1025</v>
      </c>
      <c r="M258" s="48"/>
      <c r="N258" s="35" t="str">
        <f t="shared" si="16"/>
        <v>shouhyouShoruiDefaultA010</v>
      </c>
    </row>
    <row r="259" spans="2:14" ht="45">
      <c r="B259" s="25"/>
      <c r="C259" s="37" t="s">
        <v>16</v>
      </c>
      <c r="D259" s="37" t="s">
        <v>16</v>
      </c>
      <c r="E259" s="24" t="s">
        <v>1026</v>
      </c>
      <c r="F259" s="22" t="s">
        <v>1027</v>
      </c>
      <c r="G259" s="22" t="s">
        <v>44</v>
      </c>
      <c r="H259" s="22" t="s">
        <v>21</v>
      </c>
      <c r="I259" s="22" t="s">
        <v>21</v>
      </c>
      <c r="J259" s="22" t="s">
        <v>60</v>
      </c>
      <c r="K259" s="23" t="s">
        <v>1028</v>
      </c>
      <c r="L259" s="23" t="s">
        <v>1029</v>
      </c>
      <c r="M259" s="48"/>
      <c r="N259" s="35" t="str">
        <f t="shared" si="16"/>
        <v>tenpuCheckA003</v>
      </c>
    </row>
    <row r="260" spans="2:14" ht="33.75">
      <c r="B260" s="25"/>
      <c r="C260" s="37" t="s">
        <v>16</v>
      </c>
      <c r="D260" s="37" t="s">
        <v>16</v>
      </c>
      <c r="E260" s="24" t="s">
        <v>1030</v>
      </c>
      <c r="F260" s="22" t="s">
        <v>1031</v>
      </c>
      <c r="G260" s="22" t="s">
        <v>44</v>
      </c>
      <c r="H260" s="22" t="s">
        <v>21</v>
      </c>
      <c r="I260" s="22" t="s">
        <v>21</v>
      </c>
      <c r="J260" s="22" t="s">
        <v>60</v>
      </c>
      <c r="K260" s="23" t="s">
        <v>1032</v>
      </c>
      <c r="L260" s="23" t="s">
        <v>1033</v>
      </c>
      <c r="M260" s="48"/>
      <c r="N260" s="35" t="str">
        <f t="shared" si="16"/>
        <v>shouhyouShoruiDefaultA003</v>
      </c>
    </row>
    <row r="261" spans="2:14" ht="45">
      <c r="B261" s="25"/>
      <c r="C261" s="37" t="s">
        <v>16</v>
      </c>
      <c r="D261" s="37" t="s">
        <v>16</v>
      </c>
      <c r="E261" s="24" t="s">
        <v>1034</v>
      </c>
      <c r="F261" s="22" t="s">
        <v>1035</v>
      </c>
      <c r="G261" s="22" t="s">
        <v>44</v>
      </c>
      <c r="H261" s="22" t="s">
        <v>21</v>
      </c>
      <c r="I261" s="22" t="s">
        <v>21</v>
      </c>
      <c r="J261" s="22" t="s">
        <v>60</v>
      </c>
      <c r="K261" s="23" t="s">
        <v>1036</v>
      </c>
      <c r="L261" s="23" t="s">
        <v>1029</v>
      </c>
      <c r="M261" s="48"/>
      <c r="N261" s="35" t="str">
        <f t="shared" si="16"/>
        <v>tenpuCheckA013</v>
      </c>
    </row>
    <row r="262" spans="2:14" ht="33.75">
      <c r="B262" s="25"/>
      <c r="C262" s="37" t="s">
        <v>16</v>
      </c>
      <c r="D262" s="37" t="s">
        <v>16</v>
      </c>
      <c r="E262" s="24" t="s">
        <v>1037</v>
      </c>
      <c r="F262" s="22" t="s">
        <v>1038</v>
      </c>
      <c r="G262" s="22" t="s">
        <v>44</v>
      </c>
      <c r="H262" s="22" t="s">
        <v>21</v>
      </c>
      <c r="I262" s="22" t="s">
        <v>21</v>
      </c>
      <c r="J262" s="22" t="s">
        <v>60</v>
      </c>
      <c r="K262" s="23" t="s">
        <v>1039</v>
      </c>
      <c r="L262" s="23" t="s">
        <v>1040</v>
      </c>
      <c r="M262" s="48"/>
      <c r="N262" s="35" t="str">
        <f t="shared" si="16"/>
        <v>shouhyouShoruiDefaultA013</v>
      </c>
    </row>
    <row r="263" spans="2:14" ht="45">
      <c r="B263" s="77"/>
      <c r="C263" s="78" t="s">
        <v>16</v>
      </c>
      <c r="D263" s="78" t="s">
        <v>16</v>
      </c>
      <c r="E263" s="79" t="s">
        <v>1396</v>
      </c>
      <c r="F263" s="80" t="s">
        <v>1397</v>
      </c>
      <c r="G263" s="80" t="s">
        <v>44</v>
      </c>
      <c r="H263" s="80" t="s">
        <v>21</v>
      </c>
      <c r="I263" s="80" t="s">
        <v>21</v>
      </c>
      <c r="J263" s="80" t="s">
        <v>60</v>
      </c>
      <c r="K263" s="81" t="s">
        <v>1398</v>
      </c>
      <c r="L263" s="81" t="s">
        <v>1029</v>
      </c>
      <c r="M263" s="82"/>
      <c r="N263" s="83"/>
    </row>
    <row r="264" spans="2:14" ht="33.75">
      <c r="B264" s="77"/>
      <c r="C264" s="78" t="s">
        <v>16</v>
      </c>
      <c r="D264" s="78" t="s">
        <v>16</v>
      </c>
      <c r="E264" s="79" t="s">
        <v>1399</v>
      </c>
      <c r="F264" s="80" t="s">
        <v>1400</v>
      </c>
      <c r="G264" s="80" t="s">
        <v>44</v>
      </c>
      <c r="H264" s="80" t="s">
        <v>21</v>
      </c>
      <c r="I264" s="80" t="s">
        <v>21</v>
      </c>
      <c r="J264" s="80" t="s">
        <v>60</v>
      </c>
      <c r="K264" s="81" t="s">
        <v>1401</v>
      </c>
      <c r="L264" s="81" t="s">
        <v>1402</v>
      </c>
      <c r="M264" s="82"/>
      <c r="N264" s="83"/>
    </row>
    <row r="265" spans="2:14" ht="33.75">
      <c r="B265" s="27" t="s">
        <v>1041</v>
      </c>
      <c r="C265" s="37" t="s">
        <v>16</v>
      </c>
      <c r="D265" s="37" t="s">
        <v>16</v>
      </c>
      <c r="E265" s="29" t="s">
        <v>1042</v>
      </c>
      <c r="F265" s="27" t="s">
        <v>1043</v>
      </c>
      <c r="G265" s="27" t="s">
        <v>138</v>
      </c>
      <c r="H265" s="27" t="s">
        <v>139</v>
      </c>
      <c r="I265" s="27" t="s">
        <v>139</v>
      </c>
      <c r="J265" s="27" t="s">
        <v>1044</v>
      </c>
      <c r="K265" s="30" t="s">
        <v>1045</v>
      </c>
      <c r="L265" s="30" t="s">
        <v>1046</v>
      </c>
      <c r="M265" s="48"/>
      <c r="N265" s="35" t="str">
        <f t="shared" si="16"/>
        <v>tenpuDenpyouJidouFlg</v>
      </c>
    </row>
    <row r="266" spans="2:14" ht="22.5">
      <c r="B266" s="32" t="s">
        <v>1047</v>
      </c>
      <c r="C266" s="37" t="s">
        <v>16</v>
      </c>
      <c r="D266" s="37" t="s">
        <v>16</v>
      </c>
      <c r="E266" s="29" t="s">
        <v>1048</v>
      </c>
      <c r="F266" s="27" t="s">
        <v>1049</v>
      </c>
      <c r="G266" s="27"/>
      <c r="H266" s="27" t="s">
        <v>139</v>
      </c>
      <c r="I266" s="27" t="s">
        <v>44</v>
      </c>
      <c r="J266" s="27" t="s">
        <v>1050</v>
      </c>
      <c r="K266" s="30" t="s">
        <v>1051</v>
      </c>
      <c r="L266" s="30" t="s">
        <v>1052</v>
      </c>
      <c r="M266" s="48"/>
      <c r="N266" s="35" t="str">
        <f t="shared" si="16"/>
        <v>sashihikiName</v>
      </c>
    </row>
    <row r="267" spans="2:14" ht="22.5">
      <c r="B267" s="33"/>
      <c r="C267" s="37" t="s">
        <v>16</v>
      </c>
      <c r="D267" s="37" t="s">
        <v>16</v>
      </c>
      <c r="E267" s="29" t="s">
        <v>1053</v>
      </c>
      <c r="F267" s="27" t="s">
        <v>1054</v>
      </c>
      <c r="G267" s="27" t="s">
        <v>44</v>
      </c>
      <c r="H267" s="27" t="s">
        <v>139</v>
      </c>
      <c r="I267" s="27" t="s">
        <v>21</v>
      </c>
      <c r="J267" s="27" t="s">
        <v>55</v>
      </c>
      <c r="K267" s="30" t="s">
        <v>1055</v>
      </c>
      <c r="L267" s="30" t="s">
        <v>1056</v>
      </c>
      <c r="M267" s="48"/>
      <c r="N267" s="35" t="str">
        <f t="shared" si="16"/>
        <v>sashihikiTanka</v>
      </c>
    </row>
    <row r="268" spans="2:14" ht="22.5">
      <c r="B268" s="33"/>
      <c r="C268" s="37" t="s">
        <v>16</v>
      </c>
      <c r="D268" s="37" t="s">
        <v>16</v>
      </c>
      <c r="E268" s="29" t="s">
        <v>1057</v>
      </c>
      <c r="F268" s="27" t="s">
        <v>1058</v>
      </c>
      <c r="G268" s="27"/>
      <c r="H268" s="27" t="s">
        <v>139</v>
      </c>
      <c r="I268" s="27" t="s">
        <v>44</v>
      </c>
      <c r="J268" s="27" t="s">
        <v>1050</v>
      </c>
      <c r="K268" s="30" t="s">
        <v>1059</v>
      </c>
      <c r="L268" s="30" t="s">
        <v>1060</v>
      </c>
      <c r="M268" s="48"/>
      <c r="N268" s="35" t="str">
        <f t="shared" ref="N268:N269" si="17">LOWER(LEFT(K268,1))&amp;MID(SUBSTITUTE(PROPER(K268),"_",""),2,LEN(K268))</f>
        <v>sashihikiNameKaigai</v>
      </c>
    </row>
    <row r="269" spans="2:14" ht="22.5">
      <c r="B269" s="33"/>
      <c r="C269" s="37" t="s">
        <v>16</v>
      </c>
      <c r="D269" s="37" t="s">
        <v>16</v>
      </c>
      <c r="E269" s="29" t="s">
        <v>1061</v>
      </c>
      <c r="F269" s="27" t="s">
        <v>1062</v>
      </c>
      <c r="G269" s="27" t="s">
        <v>44</v>
      </c>
      <c r="H269" s="27" t="s">
        <v>139</v>
      </c>
      <c r="I269" s="27" t="s">
        <v>21</v>
      </c>
      <c r="J269" s="27" t="s">
        <v>55</v>
      </c>
      <c r="K269" s="30" t="s">
        <v>1063</v>
      </c>
      <c r="L269" s="30" t="s">
        <v>1064</v>
      </c>
      <c r="M269" s="48"/>
      <c r="N269" s="35" t="str">
        <f t="shared" si="17"/>
        <v>sashihikiTankaKaigai</v>
      </c>
    </row>
    <row r="270" spans="2:14" ht="22.5">
      <c r="B270" s="33"/>
      <c r="C270" s="37" t="s">
        <v>16</v>
      </c>
      <c r="D270" s="37" t="s">
        <v>16</v>
      </c>
      <c r="E270" s="29" t="s">
        <v>1065</v>
      </c>
      <c r="F270" s="27" t="s">
        <v>1066</v>
      </c>
      <c r="G270" s="27"/>
      <c r="H270" s="27" t="s">
        <v>21</v>
      </c>
      <c r="I270" s="27" t="s">
        <v>44</v>
      </c>
      <c r="J270" s="27" t="s">
        <v>1067</v>
      </c>
      <c r="K270" s="30" t="s">
        <v>1068</v>
      </c>
      <c r="L270" s="30" t="s">
        <v>1069</v>
      </c>
      <c r="M270" s="48"/>
      <c r="N270" s="35" t="str">
        <f t="shared" ref="N270" si="18">LOWER(LEFT(K270,1))&amp;MID(SUBSTITUTE(PROPER(K270),"_",""),2,LEN(K270))</f>
        <v>sashihikiTankaKaigaiGaikaHeishu</v>
      </c>
    </row>
    <row r="271" spans="2:14" ht="22.5">
      <c r="B271" s="34"/>
      <c r="C271" s="37" t="s">
        <v>16</v>
      </c>
      <c r="D271" s="37" t="s">
        <v>16</v>
      </c>
      <c r="E271" s="29" t="s">
        <v>1065</v>
      </c>
      <c r="F271" s="27" t="s">
        <v>1070</v>
      </c>
      <c r="G271" s="27"/>
      <c r="H271" s="27" t="s">
        <v>21</v>
      </c>
      <c r="I271" s="27" t="s">
        <v>44</v>
      </c>
      <c r="J271" s="27" t="s">
        <v>1071</v>
      </c>
      <c r="K271" s="30" t="s">
        <v>1072</v>
      </c>
      <c r="L271" s="30" t="s">
        <v>1073</v>
      </c>
      <c r="M271" s="48"/>
      <c r="N271" s="35" t="str">
        <f t="shared" si="16"/>
        <v>sashihikiTankaKaigaiGaika</v>
      </c>
    </row>
    <row r="272" spans="2:14" ht="22.5">
      <c r="B272" s="32" t="s">
        <v>1074</v>
      </c>
      <c r="C272" s="37" t="s">
        <v>16</v>
      </c>
      <c r="D272" s="37" t="s">
        <v>16</v>
      </c>
      <c r="E272" s="29" t="s">
        <v>1075</v>
      </c>
      <c r="F272" s="27" t="s">
        <v>1076</v>
      </c>
      <c r="G272" s="27" t="s">
        <v>138</v>
      </c>
      <c r="H272" s="27" t="s">
        <v>139</v>
      </c>
      <c r="I272" s="27" t="s">
        <v>139</v>
      </c>
      <c r="J272" s="27" t="s">
        <v>45</v>
      </c>
      <c r="K272" s="30" t="s">
        <v>1077</v>
      </c>
      <c r="L272" s="30" t="s">
        <v>1078</v>
      </c>
      <c r="M272" s="48"/>
      <c r="N272" s="35" t="str">
        <f t="shared" si="16"/>
        <v>keihiShinseiKikanCheckNissuu</v>
      </c>
    </row>
    <row r="273" spans="2:14" ht="22.5">
      <c r="B273" s="33"/>
      <c r="C273" s="37" t="s">
        <v>16</v>
      </c>
      <c r="D273" s="37" t="s">
        <v>16</v>
      </c>
      <c r="E273" s="29" t="s">
        <v>1079</v>
      </c>
      <c r="F273" s="27" t="s">
        <v>1080</v>
      </c>
      <c r="G273" s="27" t="s">
        <v>1081</v>
      </c>
      <c r="H273" s="27" t="s">
        <v>139</v>
      </c>
      <c r="I273" s="27" t="s">
        <v>139</v>
      </c>
      <c r="J273" s="27"/>
      <c r="K273" s="30" t="s">
        <v>1082</v>
      </c>
      <c r="L273" s="30" t="s">
        <v>1083</v>
      </c>
      <c r="M273" s="48"/>
      <c r="N273" s="35" t="str">
        <f t="shared" si="16"/>
        <v>keihiShinseiKikanCheckMongon</v>
      </c>
    </row>
    <row r="274" spans="2:14" ht="45">
      <c r="B274" s="34"/>
      <c r="C274" s="37" t="s">
        <v>16</v>
      </c>
      <c r="D274" s="37" t="s">
        <v>16</v>
      </c>
      <c r="E274" s="29" t="s">
        <v>1084</v>
      </c>
      <c r="F274" s="27" t="s">
        <v>1085</v>
      </c>
      <c r="G274" s="27" t="s">
        <v>20</v>
      </c>
      <c r="H274" s="27" t="s">
        <v>139</v>
      </c>
      <c r="I274" s="27" t="s">
        <v>139</v>
      </c>
      <c r="J274" s="27" t="s">
        <v>132</v>
      </c>
      <c r="K274" s="30" t="s">
        <v>1086</v>
      </c>
      <c r="L274" s="30" t="s">
        <v>1087</v>
      </c>
      <c r="M274" s="48"/>
      <c r="N274" s="35" t="str">
        <f t="shared" si="16"/>
        <v>keihiKaribaraiSentakuSeigyo</v>
      </c>
    </row>
    <row r="275" spans="2:14" ht="22.5">
      <c r="B275" s="32" t="s">
        <v>1088</v>
      </c>
      <c r="C275" s="37" t="s">
        <v>16</v>
      </c>
      <c r="D275" s="37" t="s">
        <v>16</v>
      </c>
      <c r="E275" s="29" t="s">
        <v>1075</v>
      </c>
      <c r="F275" s="27" t="s">
        <v>1089</v>
      </c>
      <c r="G275" s="27" t="s">
        <v>138</v>
      </c>
      <c r="H275" s="27" t="s">
        <v>139</v>
      </c>
      <c r="I275" s="27" t="s">
        <v>139</v>
      </c>
      <c r="J275" s="27" t="s">
        <v>45</v>
      </c>
      <c r="K275" s="30" t="s">
        <v>1090</v>
      </c>
      <c r="L275" s="30" t="s">
        <v>1078</v>
      </c>
      <c r="M275" s="48"/>
      <c r="N275" s="35" t="str">
        <f t="shared" si="16"/>
        <v>shinseiKikanCheckNissuu</v>
      </c>
    </row>
    <row r="276" spans="2:14" ht="22.5">
      <c r="B276" s="33"/>
      <c r="C276" s="37" t="s">
        <v>16</v>
      </c>
      <c r="D276" s="37" t="s">
        <v>16</v>
      </c>
      <c r="E276" s="29" t="s">
        <v>1079</v>
      </c>
      <c r="F276" s="27" t="s">
        <v>1091</v>
      </c>
      <c r="G276" s="27" t="s">
        <v>1081</v>
      </c>
      <c r="H276" s="27" t="s">
        <v>139</v>
      </c>
      <c r="I276" s="27" t="s">
        <v>139</v>
      </c>
      <c r="J276" s="27"/>
      <c r="K276" s="30" t="s">
        <v>1092</v>
      </c>
      <c r="L276" s="30" t="s">
        <v>1083</v>
      </c>
      <c r="M276" s="48"/>
      <c r="N276" s="35" t="str">
        <f t="shared" si="16"/>
        <v>shinseiKikanCheckMongon</v>
      </c>
    </row>
    <row r="277" spans="2:14" ht="45">
      <c r="B277" s="34"/>
      <c r="C277" s="37" t="s">
        <v>16</v>
      </c>
      <c r="D277" s="37" t="s">
        <v>16</v>
      </c>
      <c r="E277" s="29" t="s">
        <v>1084</v>
      </c>
      <c r="F277" s="27" t="s">
        <v>1093</v>
      </c>
      <c r="G277" s="27" t="s">
        <v>20</v>
      </c>
      <c r="H277" s="27" t="s">
        <v>139</v>
      </c>
      <c r="I277" s="27" t="s">
        <v>139</v>
      </c>
      <c r="J277" s="27" t="s">
        <v>132</v>
      </c>
      <c r="K277" s="30" t="s">
        <v>1094</v>
      </c>
      <c r="L277" s="30" t="s">
        <v>1095</v>
      </c>
      <c r="M277" s="48"/>
      <c r="N277" s="35" t="str">
        <f t="shared" si="16"/>
        <v>karibaraiSentakuSeigyo</v>
      </c>
    </row>
    <row r="278" spans="2:14" ht="22.5">
      <c r="B278" s="32" t="s">
        <v>1096</v>
      </c>
      <c r="C278" s="26" t="s">
        <v>16</v>
      </c>
      <c r="D278" s="26" t="s">
        <v>16</v>
      </c>
      <c r="E278" s="29" t="s">
        <v>1075</v>
      </c>
      <c r="F278" s="27" t="s">
        <v>1097</v>
      </c>
      <c r="G278" s="27" t="s">
        <v>138</v>
      </c>
      <c r="H278" s="27" t="s">
        <v>139</v>
      </c>
      <c r="I278" s="27" t="s">
        <v>139</v>
      </c>
      <c r="J278" s="27" t="s">
        <v>45</v>
      </c>
      <c r="K278" s="30" t="s">
        <v>1098</v>
      </c>
      <c r="L278" s="30" t="s">
        <v>1078</v>
      </c>
      <c r="M278" s="49"/>
      <c r="N278" s="35" t="str">
        <f t="shared" si="16"/>
        <v>kaigaiShinseiKikanCheckNissuu</v>
      </c>
    </row>
    <row r="279" spans="2:14" ht="22.5">
      <c r="B279" s="33"/>
      <c r="C279" s="26" t="s">
        <v>16</v>
      </c>
      <c r="D279" s="26" t="s">
        <v>16</v>
      </c>
      <c r="E279" s="29" t="s">
        <v>1079</v>
      </c>
      <c r="F279" s="27" t="s">
        <v>1099</v>
      </c>
      <c r="G279" s="27" t="s">
        <v>1081</v>
      </c>
      <c r="H279" s="27" t="s">
        <v>139</v>
      </c>
      <c r="I279" s="27" t="s">
        <v>139</v>
      </c>
      <c r="J279" s="27"/>
      <c r="K279" s="30" t="s">
        <v>1100</v>
      </c>
      <c r="L279" s="30" t="s">
        <v>1083</v>
      </c>
      <c r="M279" s="49"/>
      <c r="N279" s="35" t="str">
        <f t="shared" si="16"/>
        <v>kaigaiShinseiKikanCheckMongon</v>
      </c>
    </row>
    <row r="280" spans="2:14" ht="45">
      <c r="B280" s="34"/>
      <c r="C280" s="26" t="s">
        <v>16</v>
      </c>
      <c r="D280" s="26" t="s">
        <v>16</v>
      </c>
      <c r="E280" s="29" t="s">
        <v>1084</v>
      </c>
      <c r="F280" s="27" t="s">
        <v>1101</v>
      </c>
      <c r="G280" s="27" t="s">
        <v>20</v>
      </c>
      <c r="H280" s="27" t="s">
        <v>139</v>
      </c>
      <c r="I280" s="27" t="s">
        <v>139</v>
      </c>
      <c r="J280" s="27" t="s">
        <v>132</v>
      </c>
      <c r="K280" s="30" t="s">
        <v>1102</v>
      </c>
      <c r="L280" s="30" t="s">
        <v>1103</v>
      </c>
      <c r="M280" s="49"/>
      <c r="N280" s="35" t="str">
        <f t="shared" si="16"/>
        <v>kaigaiKaribaraiSentakuSeigyo</v>
      </c>
    </row>
    <row r="281" spans="2:14" ht="22.5">
      <c r="B281" s="21" t="s">
        <v>1104</v>
      </c>
      <c r="C281" s="26" t="s">
        <v>16</v>
      </c>
      <c r="D281" s="26" t="s">
        <v>16</v>
      </c>
      <c r="E281" s="29" t="s">
        <v>1105</v>
      </c>
      <c r="F281" s="27" t="s">
        <v>1106</v>
      </c>
      <c r="G281" s="27" t="s">
        <v>1107</v>
      </c>
      <c r="H281" s="27" t="s">
        <v>21</v>
      </c>
      <c r="I281" s="27" t="s">
        <v>21</v>
      </c>
      <c r="J281" s="27" t="s">
        <v>1108</v>
      </c>
      <c r="K281" s="30" t="s">
        <v>1109</v>
      </c>
      <c r="L281" s="30" t="s">
        <v>1110</v>
      </c>
      <c r="M281" s="49" t="s">
        <v>1111</v>
      </c>
      <c r="N281" s="35" t="str">
        <f t="shared" si="16"/>
        <v>yosanCommentYosannai</v>
      </c>
    </row>
    <row r="282" spans="2:14">
      <c r="B282" s="21"/>
      <c r="C282" s="26" t="s">
        <v>16</v>
      </c>
      <c r="D282" s="26" t="s">
        <v>16</v>
      </c>
      <c r="E282" s="29" t="s">
        <v>1112</v>
      </c>
      <c r="F282" s="27" t="s">
        <v>1113</v>
      </c>
      <c r="G282" s="27" t="s">
        <v>1114</v>
      </c>
      <c r="H282" s="27" t="s">
        <v>21</v>
      </c>
      <c r="I282" s="27" t="s">
        <v>21</v>
      </c>
      <c r="J282" s="27" t="s">
        <v>1108</v>
      </c>
      <c r="K282" s="30" t="s">
        <v>1115</v>
      </c>
      <c r="L282" s="30" t="s">
        <v>1110</v>
      </c>
      <c r="M282" s="49"/>
      <c r="N282" s="35" t="str">
        <f t="shared" si="16"/>
        <v>yosanCommentChouka</v>
      </c>
    </row>
    <row r="283" spans="2:14" ht="45">
      <c r="B283" s="21"/>
      <c r="C283" s="26" t="s">
        <v>16</v>
      </c>
      <c r="D283" s="26" t="s">
        <v>16</v>
      </c>
      <c r="E283" s="29" t="s">
        <v>1116</v>
      </c>
      <c r="F283" s="27" t="s">
        <v>1117</v>
      </c>
      <c r="G283" s="27" t="s">
        <v>1118</v>
      </c>
      <c r="H283" s="27" t="s">
        <v>21</v>
      </c>
      <c r="I283" s="27" t="s">
        <v>21</v>
      </c>
      <c r="J283" s="22" t="s">
        <v>1119</v>
      </c>
      <c r="K283" s="30" t="s">
        <v>1120</v>
      </c>
      <c r="L283" s="30" t="s">
        <v>1121</v>
      </c>
      <c r="M283" s="49"/>
      <c r="N283" s="35" t="str">
        <f t="shared" si="16"/>
        <v>yosanChoukaHantei</v>
      </c>
    </row>
    <row r="284" spans="2:14">
      <c r="B284" s="21"/>
      <c r="C284" s="26" t="s">
        <v>16</v>
      </c>
      <c r="D284" s="26" t="s">
        <v>16</v>
      </c>
      <c r="E284" s="29" t="s">
        <v>1122</v>
      </c>
      <c r="F284" s="27" t="s">
        <v>1123</v>
      </c>
      <c r="G284" s="27" t="s">
        <v>21</v>
      </c>
      <c r="H284" s="27" t="s">
        <v>21</v>
      </c>
      <c r="I284" s="27" t="s">
        <v>21</v>
      </c>
      <c r="J284" s="22" t="s">
        <v>39</v>
      </c>
      <c r="K284" s="30" t="s">
        <v>1124</v>
      </c>
      <c r="L284" s="30" t="s">
        <v>1125</v>
      </c>
      <c r="M284" s="49"/>
      <c r="N284" s="35" t="str">
        <f t="shared" si="16"/>
        <v>yosanYosanNo</v>
      </c>
    </row>
    <row r="285" spans="2:14" ht="22.5">
      <c r="B285" s="21"/>
      <c r="C285" s="26" t="s">
        <v>16</v>
      </c>
      <c r="D285" s="26" t="s">
        <v>16</v>
      </c>
      <c r="E285" s="29" t="s">
        <v>1126</v>
      </c>
      <c r="F285" s="27" t="s">
        <v>1127</v>
      </c>
      <c r="G285" s="27" t="s">
        <v>1107</v>
      </c>
      <c r="H285" s="27" t="s">
        <v>21</v>
      </c>
      <c r="I285" s="27" t="s">
        <v>21</v>
      </c>
      <c r="J285" s="27" t="s">
        <v>1108</v>
      </c>
      <c r="K285" s="30" t="s">
        <v>1128</v>
      </c>
      <c r="L285" s="30" t="s">
        <v>1110</v>
      </c>
      <c r="M285" s="49"/>
      <c r="N285" s="35" t="str">
        <f t="shared" si="16"/>
        <v>kianCommentYosannai</v>
      </c>
    </row>
    <row r="286" spans="2:14">
      <c r="B286" s="21"/>
      <c r="C286" s="26" t="s">
        <v>16</v>
      </c>
      <c r="D286" s="26" t="s">
        <v>16</v>
      </c>
      <c r="E286" s="29" t="s">
        <v>1129</v>
      </c>
      <c r="F286" s="27" t="s">
        <v>1130</v>
      </c>
      <c r="G286" s="27" t="s">
        <v>1114</v>
      </c>
      <c r="H286" s="27" t="s">
        <v>21</v>
      </c>
      <c r="I286" s="27" t="s">
        <v>21</v>
      </c>
      <c r="J286" s="27" t="s">
        <v>1108</v>
      </c>
      <c r="K286" s="30" t="s">
        <v>1131</v>
      </c>
      <c r="L286" s="30" t="s">
        <v>1110</v>
      </c>
      <c r="M286" s="49"/>
      <c r="N286" s="35" t="str">
        <f t="shared" si="16"/>
        <v>kianCommentChouka</v>
      </c>
    </row>
    <row r="287" spans="2:14" ht="45">
      <c r="B287" s="21"/>
      <c r="C287" s="26" t="s">
        <v>16</v>
      </c>
      <c r="D287" s="26" t="s">
        <v>16</v>
      </c>
      <c r="E287" s="29" t="s">
        <v>1132</v>
      </c>
      <c r="F287" s="27" t="s">
        <v>1133</v>
      </c>
      <c r="G287" s="27" t="s">
        <v>1118</v>
      </c>
      <c r="H287" s="27" t="s">
        <v>21</v>
      </c>
      <c r="I287" s="27" t="s">
        <v>21</v>
      </c>
      <c r="J287" s="22" t="s">
        <v>1134</v>
      </c>
      <c r="K287" s="30" t="s">
        <v>1135</v>
      </c>
      <c r="L287" s="30" t="s">
        <v>1121</v>
      </c>
      <c r="M287" s="49"/>
      <c r="N287" s="35" t="str">
        <f t="shared" si="16"/>
        <v>kianChoukaHantei</v>
      </c>
    </row>
    <row r="288" spans="2:14" ht="45">
      <c r="B288" s="21"/>
      <c r="C288" s="26"/>
      <c r="D288" s="26" t="s">
        <v>16</v>
      </c>
      <c r="E288" s="29" t="s">
        <v>1136</v>
      </c>
      <c r="F288" s="27" t="s">
        <v>1137</v>
      </c>
      <c r="G288" s="27" t="s">
        <v>44</v>
      </c>
      <c r="H288" s="27" t="s">
        <v>21</v>
      </c>
      <c r="I288" s="27" t="s">
        <v>21</v>
      </c>
      <c r="J288" s="22" t="s">
        <v>1138</v>
      </c>
      <c r="K288" s="30" t="s">
        <v>1139</v>
      </c>
      <c r="L288" s="30" t="s">
        <v>1140</v>
      </c>
      <c r="M288" s="50"/>
      <c r="N288" s="35" t="str">
        <f t="shared" si="16"/>
        <v>kianNoHaneiRyakugou</v>
      </c>
    </row>
    <row r="289" spans="2:14" ht="45">
      <c r="B289" s="21"/>
      <c r="C289" s="26"/>
      <c r="D289" s="26" t="s">
        <v>16</v>
      </c>
      <c r="E289" s="29" t="s">
        <v>1141</v>
      </c>
      <c r="F289" s="27" t="s">
        <v>1142</v>
      </c>
      <c r="G289" s="27" t="s">
        <v>44</v>
      </c>
      <c r="H289" s="27" t="s">
        <v>21</v>
      </c>
      <c r="I289" s="27" t="s">
        <v>21</v>
      </c>
      <c r="J289" s="22" t="s">
        <v>1138</v>
      </c>
      <c r="K289" s="30" t="s">
        <v>1143</v>
      </c>
      <c r="L289" s="30" t="s">
        <v>1144</v>
      </c>
      <c r="M289" s="50"/>
      <c r="N289" s="35" t="str">
        <f t="shared" si="16"/>
        <v>kianNoHaneiBangou</v>
      </c>
    </row>
    <row r="290" spans="2:14" ht="22.5">
      <c r="B290" s="21"/>
      <c r="C290" s="26" t="s">
        <v>16</v>
      </c>
      <c r="D290" s="26" t="s">
        <v>16</v>
      </c>
      <c r="E290" s="29" t="s">
        <v>1145</v>
      </c>
      <c r="F290" s="27" t="s">
        <v>1146</v>
      </c>
      <c r="G290" s="27"/>
      <c r="H290" s="27" t="s">
        <v>21</v>
      </c>
      <c r="I290" s="27" t="s">
        <v>44</v>
      </c>
      <c r="J290" s="27" t="s">
        <v>1147</v>
      </c>
      <c r="K290" s="30" t="s">
        <v>1148</v>
      </c>
      <c r="L290" s="30" t="s">
        <v>1149</v>
      </c>
      <c r="M290" s="49"/>
      <c r="N290" s="35" t="str">
        <f t="shared" si="16"/>
        <v>yosanSecurityPattern</v>
      </c>
    </row>
    <row r="291" spans="2:14" ht="33.75">
      <c r="B291" s="21"/>
      <c r="C291" s="26" t="s">
        <v>16</v>
      </c>
      <c r="D291" s="26" t="s">
        <v>16</v>
      </c>
      <c r="E291" s="29" t="s">
        <v>1150</v>
      </c>
      <c r="F291" s="27" t="s">
        <v>1151</v>
      </c>
      <c r="G291" s="27" t="s">
        <v>44</v>
      </c>
      <c r="H291" s="27" t="s">
        <v>21</v>
      </c>
      <c r="I291" s="27" t="s">
        <v>21</v>
      </c>
      <c r="J291" s="27" t="s">
        <v>60</v>
      </c>
      <c r="K291" s="30" t="s">
        <v>1152</v>
      </c>
      <c r="L291" s="30" t="s">
        <v>1153</v>
      </c>
      <c r="M291" s="49"/>
      <c r="N291" s="35" t="str">
        <f t="shared" si="16"/>
        <v>gougiYosanKakunin</v>
      </c>
    </row>
    <row r="292" spans="2:14" ht="33.75">
      <c r="B292" s="21"/>
      <c r="C292" s="26" t="s">
        <v>16</v>
      </c>
      <c r="D292" s="26" t="s">
        <v>16</v>
      </c>
      <c r="E292" s="29" t="s">
        <v>1154</v>
      </c>
      <c r="F292" s="27" t="s">
        <v>1155</v>
      </c>
      <c r="G292" s="27" t="s">
        <v>44</v>
      </c>
      <c r="H292" s="27" t="s">
        <v>21</v>
      </c>
      <c r="I292" s="27" t="s">
        <v>44</v>
      </c>
      <c r="J292" s="27" t="s">
        <v>60</v>
      </c>
      <c r="K292" s="30" t="s">
        <v>1156</v>
      </c>
      <c r="L292" s="30" t="s">
        <v>1157</v>
      </c>
      <c r="M292" s="49"/>
      <c r="N292" s="35" t="str">
        <f t="shared" si="16"/>
        <v>yosanCheckTani</v>
      </c>
    </row>
    <row r="293" spans="2:14" ht="33.75">
      <c r="B293" s="21"/>
      <c r="C293" s="26" t="s">
        <v>16</v>
      </c>
      <c r="D293" s="26" t="s">
        <v>16</v>
      </c>
      <c r="E293" s="29" t="s">
        <v>1158</v>
      </c>
      <c r="F293" s="27" t="s">
        <v>1159</v>
      </c>
      <c r="G293" s="27" t="s">
        <v>44</v>
      </c>
      <c r="H293" s="27" t="s">
        <v>21</v>
      </c>
      <c r="I293" s="27" t="s">
        <v>44</v>
      </c>
      <c r="J293" s="27" t="s">
        <v>60</v>
      </c>
      <c r="K293" s="30" t="s">
        <v>1160</v>
      </c>
      <c r="L293" s="30" t="s">
        <v>1161</v>
      </c>
      <c r="M293" s="49"/>
      <c r="N293" s="35" t="str">
        <f t="shared" ref="N293" si="19">LOWER(LEFT(K293,1))&amp;MID(SUBSTITUTE(PROPER(K293),"_",""),2,LEN(K293))</f>
        <v>yosanCheckKikan</v>
      </c>
    </row>
    <row r="294" spans="2:14" ht="51.75" customHeight="1">
      <c r="B294" s="31"/>
      <c r="C294" s="26" t="s">
        <v>135</v>
      </c>
      <c r="D294" s="26" t="s">
        <v>135</v>
      </c>
      <c r="E294" s="29" t="s">
        <v>1162</v>
      </c>
      <c r="F294" s="27" t="s">
        <v>1163</v>
      </c>
      <c r="G294" s="27" t="s">
        <v>138</v>
      </c>
      <c r="H294" s="27" t="s">
        <v>139</v>
      </c>
      <c r="I294" s="27" t="s">
        <v>139</v>
      </c>
      <c r="J294" s="27" t="s">
        <v>1044</v>
      </c>
      <c r="K294" s="30" t="s">
        <v>1164</v>
      </c>
      <c r="L294" s="30" t="s">
        <v>1165</v>
      </c>
      <c r="M294" s="49"/>
      <c r="N294" s="35" t="str">
        <f t="shared" si="16"/>
        <v>yosanKianCommnent</v>
      </c>
    </row>
    <row r="295" spans="2:14">
      <c r="B295" s="53" t="s">
        <v>1166</v>
      </c>
      <c r="C295" s="96" t="s">
        <v>16</v>
      </c>
      <c r="D295" s="96" t="s">
        <v>16</v>
      </c>
      <c r="E295" s="97" t="s">
        <v>1167</v>
      </c>
      <c r="F295" s="31" t="s">
        <v>1168</v>
      </c>
      <c r="G295" s="98"/>
      <c r="H295" s="31" t="s">
        <v>21</v>
      </c>
      <c r="I295" s="31" t="s">
        <v>44</v>
      </c>
      <c r="J295" s="31"/>
      <c r="K295" s="99" t="s">
        <v>1169</v>
      </c>
      <c r="L295" s="99" t="s">
        <v>1170</v>
      </c>
      <c r="N295" s="100" t="str">
        <f t="shared" si="16"/>
        <v>manekinName</v>
      </c>
    </row>
    <row r="296" spans="2:14">
      <c r="B296" s="53"/>
      <c r="C296" s="37" t="s">
        <v>16</v>
      </c>
      <c r="D296" s="37" t="s">
        <v>16</v>
      </c>
      <c r="E296" s="24" t="s">
        <v>1171</v>
      </c>
      <c r="F296" s="22" t="s">
        <v>1172</v>
      </c>
      <c r="G296" s="40"/>
      <c r="H296" s="22" t="s">
        <v>21</v>
      </c>
      <c r="I296" s="22" t="s">
        <v>44</v>
      </c>
      <c r="J296" s="22" t="s">
        <v>1388</v>
      </c>
      <c r="K296" s="23" t="s">
        <v>1173</v>
      </c>
      <c r="L296" s="23" t="s">
        <v>1174</v>
      </c>
      <c r="N296" s="35" t="str">
        <f t="shared" si="16"/>
        <v>manekinCd</v>
      </c>
    </row>
    <row r="297" spans="2:14">
      <c r="B297" s="53"/>
      <c r="C297" s="37" t="s">
        <v>16</v>
      </c>
      <c r="D297" s="37" t="s">
        <v>16</v>
      </c>
      <c r="E297" s="24" t="s">
        <v>1175</v>
      </c>
      <c r="F297" s="22" t="s">
        <v>1176</v>
      </c>
      <c r="G297" s="40"/>
      <c r="H297" s="22" t="s">
        <v>21</v>
      </c>
      <c r="I297" s="22" t="s">
        <v>44</v>
      </c>
      <c r="J297" s="22" t="s">
        <v>1389</v>
      </c>
      <c r="K297" s="23" t="s">
        <v>1177</v>
      </c>
      <c r="L297" s="23" t="s">
        <v>1178</v>
      </c>
      <c r="N297" s="35" t="str">
        <f t="shared" si="16"/>
        <v>manekinEdaban</v>
      </c>
    </row>
    <row r="298" spans="2:14">
      <c r="B298" s="53"/>
      <c r="C298" s="37" t="s">
        <v>16</v>
      </c>
      <c r="D298" s="37" t="s">
        <v>16</v>
      </c>
      <c r="E298" s="24" t="s">
        <v>1179</v>
      </c>
      <c r="F298" s="22" t="s">
        <v>1180</v>
      </c>
      <c r="G298" s="40"/>
      <c r="H298" s="22" t="s">
        <v>21</v>
      </c>
      <c r="I298" s="22" t="s">
        <v>44</v>
      </c>
      <c r="J298" s="22" t="s">
        <v>1390</v>
      </c>
      <c r="K298" s="23" t="s">
        <v>1181</v>
      </c>
      <c r="L298" s="23" t="s">
        <v>1182</v>
      </c>
      <c r="N298" s="35" t="str">
        <f t="shared" si="16"/>
        <v>manekinBumon</v>
      </c>
    </row>
    <row r="299" spans="2:14">
      <c r="B299" s="53"/>
      <c r="C299" s="37" t="s">
        <v>16</v>
      </c>
      <c r="D299" s="37" t="s">
        <v>16</v>
      </c>
      <c r="E299" s="24" t="s">
        <v>1183</v>
      </c>
      <c r="F299" s="22" t="s">
        <v>1184</v>
      </c>
      <c r="G299" s="22"/>
      <c r="H299" s="22" t="s">
        <v>21</v>
      </c>
      <c r="I299" s="22" t="s">
        <v>44</v>
      </c>
      <c r="J299" s="22" t="s">
        <v>1389</v>
      </c>
      <c r="K299" s="23" t="s">
        <v>1185</v>
      </c>
      <c r="L299" s="23" t="s">
        <v>1186</v>
      </c>
      <c r="N299" s="35" t="str">
        <f t="shared" si="16"/>
        <v>ichigenCd</v>
      </c>
    </row>
    <row r="300" spans="2:14" ht="78.75">
      <c r="B300" s="53"/>
      <c r="C300" s="37" t="s">
        <v>16</v>
      </c>
      <c r="D300" s="37" t="s">
        <v>16</v>
      </c>
      <c r="E300" s="44" t="s">
        <v>1187</v>
      </c>
      <c r="F300" s="39" t="s">
        <v>1188</v>
      </c>
      <c r="G300" s="40"/>
      <c r="H300" s="22" t="s">
        <v>139</v>
      </c>
      <c r="I300" s="22" t="s">
        <v>44</v>
      </c>
      <c r="J300" s="22" t="s">
        <v>1189</v>
      </c>
      <c r="K300" s="39" t="s">
        <v>1190</v>
      </c>
      <c r="L300" s="46" t="s">
        <v>1418</v>
      </c>
      <c r="N300" s="35" t="str">
        <f t="shared" si="16"/>
        <v>ichigenTesuuryou</v>
      </c>
    </row>
    <row r="301" spans="2:14" ht="22.5">
      <c r="B301" s="53"/>
      <c r="C301" s="37" t="s">
        <v>16</v>
      </c>
      <c r="D301" s="37" t="s">
        <v>16</v>
      </c>
      <c r="E301" s="44" t="s">
        <v>1191</v>
      </c>
      <c r="F301" s="39" t="s">
        <v>1192</v>
      </c>
      <c r="G301" s="40"/>
      <c r="H301" s="22" t="s">
        <v>139</v>
      </c>
      <c r="I301" s="22" t="s">
        <v>44</v>
      </c>
      <c r="J301" s="22" t="s">
        <v>1388</v>
      </c>
      <c r="K301" s="39" t="s">
        <v>1193</v>
      </c>
      <c r="L301" s="46" t="s">
        <v>1194</v>
      </c>
      <c r="N301" s="35" t="str">
        <f t="shared" si="16"/>
        <v>ichigenTesuuryouKamokuCd</v>
      </c>
    </row>
    <row r="302" spans="2:14" ht="22.5">
      <c r="B302" s="53"/>
      <c r="C302" s="37" t="s">
        <v>16</v>
      </c>
      <c r="D302" s="37" t="s">
        <v>16</v>
      </c>
      <c r="E302" s="44" t="s">
        <v>1195</v>
      </c>
      <c r="F302" s="39" t="s">
        <v>1196</v>
      </c>
      <c r="G302" s="40"/>
      <c r="H302" s="22" t="s">
        <v>139</v>
      </c>
      <c r="I302" s="22" t="s">
        <v>44</v>
      </c>
      <c r="J302" s="22" t="s">
        <v>1389</v>
      </c>
      <c r="K302" s="39" t="s">
        <v>1197</v>
      </c>
      <c r="L302" s="46" t="s">
        <v>1198</v>
      </c>
      <c r="N302" s="35" t="str">
        <f t="shared" si="16"/>
        <v>ichigenTesuuryouEdabanCd</v>
      </c>
    </row>
    <row r="303" spans="2:14" ht="45">
      <c r="B303" s="53"/>
      <c r="C303" s="37" t="s">
        <v>16</v>
      </c>
      <c r="D303" s="37" t="s">
        <v>16</v>
      </c>
      <c r="E303" s="44" t="s">
        <v>1199</v>
      </c>
      <c r="F303" s="39" t="s">
        <v>1200</v>
      </c>
      <c r="G303" s="40"/>
      <c r="H303" s="22" t="s">
        <v>139</v>
      </c>
      <c r="I303" s="22" t="s">
        <v>44</v>
      </c>
      <c r="J303" s="22" t="s">
        <v>1391</v>
      </c>
      <c r="K303" s="39" t="s">
        <v>1201</v>
      </c>
      <c r="L303" s="46" t="s">
        <v>1202</v>
      </c>
      <c r="N303" s="35" t="str">
        <f t="shared" ref="N303" si="20">LOWER(LEFT(K303,1))&amp;MID(SUBSTITUTE(PROPER(K303),"_",""),2,LEN(K303))</f>
        <v>ichigenTesuuryouBumonCd</v>
      </c>
    </row>
    <row r="304" spans="2:14" ht="45">
      <c r="B304" s="53"/>
      <c r="C304" s="37" t="s">
        <v>16</v>
      </c>
      <c r="D304" s="37" t="s">
        <v>16</v>
      </c>
      <c r="E304" s="44" t="s">
        <v>1203</v>
      </c>
      <c r="F304" s="39" t="s">
        <v>1204</v>
      </c>
      <c r="G304" s="69" t="s">
        <v>21</v>
      </c>
      <c r="H304" s="22" t="s">
        <v>139</v>
      </c>
      <c r="I304" s="22" t="s">
        <v>21</v>
      </c>
      <c r="J304" s="22" t="s">
        <v>113</v>
      </c>
      <c r="K304" s="39" t="s">
        <v>1205</v>
      </c>
      <c r="L304" s="46" t="s">
        <v>1206</v>
      </c>
      <c r="N304" s="35" t="str">
        <f t="shared" ref="N304" si="21">LOWER(LEFT(K304,1))&amp;MID(SUBSTITUTE(PROPER(K304),"_",""),2,LEN(K304))</f>
        <v>ichigenTesuuryouBumonCdNiniBumonHantei</v>
      </c>
    </row>
    <row r="305" spans="2:14">
      <c r="B305" s="53"/>
      <c r="C305" s="37" t="s">
        <v>16</v>
      </c>
      <c r="D305" s="37" t="s">
        <v>16</v>
      </c>
      <c r="E305" s="44" t="s">
        <v>1207</v>
      </c>
      <c r="F305" s="39" t="s">
        <v>1208</v>
      </c>
      <c r="G305" s="40"/>
      <c r="H305" s="22" t="s">
        <v>21</v>
      </c>
      <c r="I305" s="22" t="s">
        <v>44</v>
      </c>
      <c r="J305" s="22" t="s">
        <v>1388</v>
      </c>
      <c r="K305" s="39" t="s">
        <v>1209</v>
      </c>
      <c r="L305" s="46" t="s">
        <v>1210</v>
      </c>
      <c r="N305" s="35" t="str">
        <f t="shared" si="16"/>
        <v>kashikatakamokuCdMibaraiFuteiki</v>
      </c>
    </row>
    <row r="306" spans="2:14">
      <c r="B306" s="53"/>
      <c r="C306" s="37" t="s">
        <v>16</v>
      </c>
      <c r="D306" s="37" t="s">
        <v>16</v>
      </c>
      <c r="E306" s="44" t="s">
        <v>1211</v>
      </c>
      <c r="F306" s="39" t="s">
        <v>1212</v>
      </c>
      <c r="G306" s="40"/>
      <c r="H306" s="22" t="s">
        <v>21</v>
      </c>
      <c r="I306" s="22" t="s">
        <v>44</v>
      </c>
      <c r="J306" s="22" t="s">
        <v>1388</v>
      </c>
      <c r="K306" s="39" t="s">
        <v>1213</v>
      </c>
      <c r="L306" s="46" t="s">
        <v>1214</v>
      </c>
      <c r="N306" s="35" t="str">
        <f t="shared" si="16"/>
        <v>kashikatakamokuCdMibaraiTeiki</v>
      </c>
    </row>
    <row r="307" spans="2:14">
      <c r="B307" s="54"/>
      <c r="C307" s="37" t="s">
        <v>16</v>
      </c>
      <c r="D307" s="37" t="s">
        <v>16</v>
      </c>
      <c r="E307" s="44" t="s">
        <v>1215</v>
      </c>
      <c r="F307" s="39" t="s">
        <v>1216</v>
      </c>
      <c r="G307" s="40"/>
      <c r="H307" s="22" t="s">
        <v>21</v>
      </c>
      <c r="I307" s="22" t="s">
        <v>44</v>
      </c>
      <c r="J307" s="22" t="s">
        <v>1388</v>
      </c>
      <c r="K307" s="39" t="s">
        <v>1217</v>
      </c>
      <c r="L307" s="46" t="s">
        <v>1218</v>
      </c>
      <c r="N307" s="35" t="str">
        <f t="shared" si="16"/>
        <v>kashikatakamokuCdSetsubiMibarai</v>
      </c>
    </row>
    <row r="308" spans="2:14" ht="33.75">
      <c r="B308" s="28" t="s">
        <v>1219</v>
      </c>
      <c r="C308" s="37" t="s">
        <v>16</v>
      </c>
      <c r="D308" s="37" t="s">
        <v>16</v>
      </c>
      <c r="E308" s="24" t="s">
        <v>1220</v>
      </c>
      <c r="F308" s="22" t="s">
        <v>1221</v>
      </c>
      <c r="G308" s="22" t="s">
        <v>32</v>
      </c>
      <c r="H308" s="22" t="s">
        <v>21</v>
      </c>
      <c r="I308" s="22" t="s">
        <v>21</v>
      </c>
      <c r="J308" s="22" t="s">
        <v>1222</v>
      </c>
      <c r="K308" s="23" t="s">
        <v>1223</v>
      </c>
      <c r="L308" s="23" t="s">
        <v>1224</v>
      </c>
      <c r="M308" s="48"/>
      <c r="N308" s="35" t="str">
        <f t="shared" si="16"/>
        <v>bumonCdKetasuu</v>
      </c>
    </row>
    <row r="309" spans="2:14">
      <c r="B309" s="21"/>
      <c r="C309" s="37" t="s">
        <v>16</v>
      </c>
      <c r="D309" s="37" t="s">
        <v>16</v>
      </c>
      <c r="E309" s="24" t="s">
        <v>1225</v>
      </c>
      <c r="F309" s="22" t="s">
        <v>1226</v>
      </c>
      <c r="G309" s="22" t="s">
        <v>1227</v>
      </c>
      <c r="H309" s="22" t="s">
        <v>21</v>
      </c>
      <c r="I309" s="22" t="s">
        <v>21</v>
      </c>
      <c r="J309" s="22" t="s">
        <v>1228</v>
      </c>
      <c r="K309" s="23" t="str">
        <f>UPPER(F309)</f>
        <v>RECORD_NUM_PER_PAGE</v>
      </c>
      <c r="L309" s="23" t="s">
        <v>1229</v>
      </c>
      <c r="M309" s="48"/>
      <c r="N309" s="35" t="str">
        <f t="shared" si="16"/>
        <v>recordNumPerPage</v>
      </c>
    </row>
    <row r="310" spans="2:14" ht="22.5">
      <c r="B310" s="21"/>
      <c r="C310" s="37" t="s">
        <v>16</v>
      </c>
      <c r="D310" s="37" t="s">
        <v>16</v>
      </c>
      <c r="E310" s="24" t="s">
        <v>1230</v>
      </c>
      <c r="F310" s="22" t="s">
        <v>1231</v>
      </c>
      <c r="G310" s="22" t="s">
        <v>1227</v>
      </c>
      <c r="H310" s="22" t="s">
        <v>21</v>
      </c>
      <c r="I310" s="22" t="s">
        <v>21</v>
      </c>
      <c r="J310" s="22" t="s">
        <v>1232</v>
      </c>
      <c r="K310" s="23" t="str">
        <f>UPPER(F310)</f>
        <v>RECORD_NUM_PER_PAGE_TORIHIKISAKI</v>
      </c>
      <c r="L310" s="23" t="s">
        <v>1233</v>
      </c>
      <c r="M310" s="48"/>
      <c r="N310" s="35" t="str">
        <f t="shared" ref="N310" si="22">LOWER(LEFT(K310,1))&amp;MID(SUBSTITUTE(PROPER(K310),"_",""),2,LEN(K310))</f>
        <v>recordNumPerPageTorihikisaki</v>
      </c>
    </row>
    <row r="311" spans="2:14">
      <c r="B311" s="21"/>
      <c r="C311" s="37" t="s">
        <v>16</v>
      </c>
      <c r="D311" s="37" t="s">
        <v>16</v>
      </c>
      <c r="E311" s="24" t="s">
        <v>1234</v>
      </c>
      <c r="F311" s="22" t="s">
        <v>1235</v>
      </c>
      <c r="G311" s="22" t="s">
        <v>1236</v>
      </c>
      <c r="H311" s="22" t="s">
        <v>21</v>
      </c>
      <c r="I311" s="22" t="s">
        <v>21</v>
      </c>
      <c r="J311" s="22" t="s">
        <v>1232</v>
      </c>
      <c r="K311" s="23" t="str">
        <f>UPPER(F311)</f>
        <v>FILE_NUM_FOR_DOWNLOAD</v>
      </c>
      <c r="L311" s="23" t="s">
        <v>1237</v>
      </c>
      <c r="M311" s="48"/>
      <c r="N311" s="35" t="str">
        <f t="shared" si="16"/>
        <v>fileNumForDownload</v>
      </c>
    </row>
    <row r="312" spans="2:14" ht="33.75">
      <c r="B312" s="21"/>
      <c r="C312" s="37" t="s">
        <v>16</v>
      </c>
      <c r="D312" s="37" t="s">
        <v>16</v>
      </c>
      <c r="E312" s="24" t="s">
        <v>1238</v>
      </c>
      <c r="F312" s="22" t="s">
        <v>1239</v>
      </c>
      <c r="G312" s="22" t="s">
        <v>1240</v>
      </c>
      <c r="H312" s="22" t="s">
        <v>21</v>
      </c>
      <c r="I312" s="22" t="s">
        <v>44</v>
      </c>
      <c r="J312" s="22" t="s">
        <v>1241</v>
      </c>
      <c r="K312" s="23" t="s">
        <v>1242</v>
      </c>
      <c r="L312" s="23" t="s">
        <v>1243</v>
      </c>
      <c r="M312" s="48"/>
      <c r="N312" s="35" t="str">
        <f t="shared" si="16"/>
        <v>dataHozonNissuu</v>
      </c>
    </row>
    <row r="313" spans="2:14" ht="33.75">
      <c r="B313" s="21"/>
      <c r="C313" s="37" t="s">
        <v>16</v>
      </c>
      <c r="D313" s="37" t="s">
        <v>16</v>
      </c>
      <c r="E313" s="24" t="s">
        <v>1244</v>
      </c>
      <c r="F313" s="22" t="s">
        <v>1245</v>
      </c>
      <c r="G313" s="22" t="s">
        <v>1240</v>
      </c>
      <c r="H313" s="22" t="s">
        <v>21</v>
      </c>
      <c r="I313" s="22" t="s">
        <v>44</v>
      </c>
      <c r="J313" s="22" t="s">
        <v>1241</v>
      </c>
      <c r="K313" s="23" t="s">
        <v>1246</v>
      </c>
      <c r="L313" s="23" t="s">
        <v>1247</v>
      </c>
      <c r="M313" s="48"/>
      <c r="N313" s="35" t="str">
        <f t="shared" si="16"/>
        <v>dataHozonNissuuLog</v>
      </c>
    </row>
    <row r="314" spans="2:14" ht="22.5">
      <c r="B314" s="21"/>
      <c r="C314" s="84" t="s">
        <v>16</v>
      </c>
      <c r="D314" s="84" t="s">
        <v>16</v>
      </c>
      <c r="E314" s="85" t="s">
        <v>1248</v>
      </c>
      <c r="F314" s="86" t="s">
        <v>1249</v>
      </c>
      <c r="G314" s="86" t="s">
        <v>1250</v>
      </c>
      <c r="H314" s="86" t="s">
        <v>44</v>
      </c>
      <c r="I314" s="86" t="s">
        <v>44</v>
      </c>
      <c r="J314" s="86" t="s">
        <v>1251</v>
      </c>
      <c r="K314" s="87" t="s">
        <v>1252</v>
      </c>
      <c r="L314" s="87" t="s">
        <v>1253</v>
      </c>
      <c r="M314" s="88"/>
      <c r="N314" s="89" t="str">
        <f t="shared" si="16"/>
        <v>kinyukikanCdYuucho</v>
      </c>
    </row>
    <row r="315" spans="2:14" ht="22.5">
      <c r="B315" s="21"/>
      <c r="C315" s="37" t="s">
        <v>16</v>
      </c>
      <c r="D315" s="37" t="s">
        <v>16</v>
      </c>
      <c r="E315" s="24" t="s">
        <v>1254</v>
      </c>
      <c r="F315" s="22" t="s">
        <v>1255</v>
      </c>
      <c r="G315" s="22" t="s">
        <v>1256</v>
      </c>
      <c r="H315" s="22" t="s">
        <v>20</v>
      </c>
      <c r="I315" s="22" t="s">
        <v>21</v>
      </c>
      <c r="J315" s="22"/>
      <c r="K315" s="23" t="s">
        <v>1257</v>
      </c>
      <c r="L315" s="23" t="s">
        <v>1258</v>
      </c>
      <c r="M315" s="48"/>
      <c r="N315" s="35" t="str">
        <f t="shared" si="16"/>
        <v>dbdumpUrl</v>
      </c>
    </row>
    <row r="316" spans="2:14" ht="22.5">
      <c r="B316" s="21"/>
      <c r="C316" s="37" t="s">
        <v>16</v>
      </c>
      <c r="D316" s="37" t="s">
        <v>16</v>
      </c>
      <c r="E316" s="24" t="s">
        <v>1259</v>
      </c>
      <c r="F316" s="22" t="s">
        <v>1260</v>
      </c>
      <c r="G316" s="22" t="s">
        <v>186</v>
      </c>
      <c r="H316" s="22" t="s">
        <v>20</v>
      </c>
      <c r="I316" s="22" t="s">
        <v>21</v>
      </c>
      <c r="J316" s="22" t="s">
        <v>1261</v>
      </c>
      <c r="K316" s="23" t="s">
        <v>1262</v>
      </c>
      <c r="L316" s="23" t="s">
        <v>1263</v>
      </c>
      <c r="M316" s="48"/>
      <c r="N316" s="35" t="str">
        <f t="shared" si="16"/>
        <v>tenantMaxUsersNum</v>
      </c>
    </row>
    <row r="317" spans="2:14" ht="33.75">
      <c r="B317" s="21"/>
      <c r="C317" s="37" t="s">
        <v>16</v>
      </c>
      <c r="D317" s="37" t="s">
        <v>16</v>
      </c>
      <c r="E317" s="24" t="s">
        <v>1264</v>
      </c>
      <c r="F317" s="22" t="s">
        <v>1265</v>
      </c>
      <c r="G317" s="22"/>
      <c r="H317" s="66" t="s">
        <v>21</v>
      </c>
      <c r="I317" s="22" t="s">
        <v>44</v>
      </c>
      <c r="J317" s="22" t="s">
        <v>1266</v>
      </c>
      <c r="K317" s="23" t="s">
        <v>1267</v>
      </c>
      <c r="L317" s="23" t="s">
        <v>1268</v>
      </c>
      <c r="M317" s="48"/>
      <c r="N317" s="35" t="str">
        <f t="shared" si="16"/>
        <v>hyoujiKaishaNum</v>
      </c>
    </row>
    <row r="318" spans="2:14" ht="33.75">
      <c r="B318" s="21"/>
      <c r="C318" s="37" t="s">
        <v>16</v>
      </c>
      <c r="D318" s="37" t="s">
        <v>16</v>
      </c>
      <c r="E318" s="24" t="s">
        <v>1269</v>
      </c>
      <c r="F318" s="22" t="s">
        <v>1270</v>
      </c>
      <c r="G318" s="22" t="s">
        <v>44</v>
      </c>
      <c r="H318" s="22" t="s">
        <v>21</v>
      </c>
      <c r="I318" s="22" t="s">
        <v>21</v>
      </c>
      <c r="J318" s="27" t="s">
        <v>1044</v>
      </c>
      <c r="K318" s="23" t="s">
        <v>1271</v>
      </c>
      <c r="L318" s="23" t="s">
        <v>1272</v>
      </c>
      <c r="M318" s="48"/>
      <c r="N318" s="35" t="str">
        <f t="shared" si="16"/>
        <v>torihikiSettei</v>
      </c>
    </row>
    <row r="319" spans="2:14" ht="33.75">
      <c r="B319" s="21"/>
      <c r="C319" s="37" t="s">
        <v>16</v>
      </c>
      <c r="D319" s="37" t="s">
        <v>16</v>
      </c>
      <c r="E319" s="24" t="s">
        <v>1273</v>
      </c>
      <c r="F319" s="22" t="s">
        <v>1274</v>
      </c>
      <c r="G319" s="22" t="s">
        <v>21</v>
      </c>
      <c r="H319" s="22" t="s">
        <v>21</v>
      </c>
      <c r="I319" s="22" t="s">
        <v>21</v>
      </c>
      <c r="J319" s="27" t="s">
        <v>1044</v>
      </c>
      <c r="K319" s="23" t="s">
        <v>1275</v>
      </c>
      <c r="L319" s="23" t="s">
        <v>1276</v>
      </c>
      <c r="M319" s="48"/>
      <c r="N319" s="35" t="str">
        <f t="shared" si="16"/>
        <v>userInfoHenkou</v>
      </c>
    </row>
    <row r="320" spans="2:14" ht="56.25">
      <c r="B320" s="21"/>
      <c r="C320" s="26" t="s">
        <v>16</v>
      </c>
      <c r="D320" s="26" t="s">
        <v>16</v>
      </c>
      <c r="E320" s="29" t="s">
        <v>1277</v>
      </c>
      <c r="F320" s="27" t="s">
        <v>1278</v>
      </c>
      <c r="G320" s="27" t="s">
        <v>44</v>
      </c>
      <c r="H320" s="27" t="s">
        <v>21</v>
      </c>
      <c r="I320" s="27" t="s">
        <v>21</v>
      </c>
      <c r="J320" s="27" t="s">
        <v>1279</v>
      </c>
      <c r="K320" s="30" t="s">
        <v>1280</v>
      </c>
      <c r="L320" s="30" t="s">
        <v>1281</v>
      </c>
      <c r="M320" s="49"/>
      <c r="N320" s="35" t="str">
        <f t="shared" si="16"/>
        <v>houkaKansanHasuu</v>
      </c>
    </row>
    <row r="321" spans="2:14" ht="67.5">
      <c r="B321" s="21"/>
      <c r="C321" s="26" t="s">
        <v>16</v>
      </c>
      <c r="D321" s="26" t="s">
        <v>16</v>
      </c>
      <c r="E321" s="29" t="s">
        <v>1282</v>
      </c>
      <c r="F321" s="27" t="s">
        <v>1283</v>
      </c>
      <c r="G321" s="27" t="s">
        <v>44</v>
      </c>
      <c r="H321" s="27" t="s">
        <v>21</v>
      </c>
      <c r="I321" s="27" t="s">
        <v>21</v>
      </c>
      <c r="J321" s="27" t="s">
        <v>1044</v>
      </c>
      <c r="K321" s="30" t="s">
        <v>1284</v>
      </c>
      <c r="L321" s="30" t="s">
        <v>1285</v>
      </c>
      <c r="M321" s="49"/>
      <c r="N321" s="35" t="str">
        <f t="shared" si="16"/>
        <v>futanBumonShukeiFilter</v>
      </c>
    </row>
    <row r="322" spans="2:14" ht="45">
      <c r="B322" s="21"/>
      <c r="C322" s="26" t="s">
        <v>16</v>
      </c>
      <c r="D322" s="26" t="s">
        <v>16</v>
      </c>
      <c r="E322" s="29" t="s">
        <v>1286</v>
      </c>
      <c r="F322" s="27" t="s">
        <v>1287</v>
      </c>
      <c r="G322" s="27" t="s">
        <v>44</v>
      </c>
      <c r="H322" s="27" t="s">
        <v>21</v>
      </c>
      <c r="I322" s="27" t="s">
        <v>21</v>
      </c>
      <c r="J322" s="22" t="s">
        <v>45</v>
      </c>
      <c r="K322" s="30" t="s">
        <v>1288</v>
      </c>
      <c r="L322" s="30" t="s">
        <v>1289</v>
      </c>
      <c r="M322" s="49"/>
      <c r="N322" s="35" t="str">
        <f t="shared" si="16"/>
        <v>tenpuSizeSeigen</v>
      </c>
    </row>
    <row r="323" spans="2:14" ht="45">
      <c r="B323" s="21"/>
      <c r="C323" s="26" t="s">
        <v>16</v>
      </c>
      <c r="D323" s="26" t="s">
        <v>16</v>
      </c>
      <c r="E323" s="29" t="s">
        <v>1290</v>
      </c>
      <c r="F323" s="27" t="s">
        <v>1291</v>
      </c>
      <c r="G323" s="27" t="s">
        <v>44</v>
      </c>
      <c r="H323" s="27" t="s">
        <v>21</v>
      </c>
      <c r="I323" s="27" t="s">
        <v>21</v>
      </c>
      <c r="J323" s="27" t="s">
        <v>1044</v>
      </c>
      <c r="K323" s="30" t="s">
        <v>1292</v>
      </c>
      <c r="L323" s="30" t="s">
        <v>1293</v>
      </c>
      <c r="M323" s="49"/>
      <c r="N323" s="35" t="str">
        <f t="shared" si="16"/>
        <v>keiriMaruhiRef</v>
      </c>
    </row>
    <row r="324" spans="2:14" ht="61.5" customHeight="1">
      <c r="B324" s="21"/>
      <c r="C324" s="26" t="s">
        <v>16</v>
      </c>
      <c r="D324" s="26" t="s">
        <v>16</v>
      </c>
      <c r="E324" s="29" t="s">
        <v>1294</v>
      </c>
      <c r="F324" s="27" t="s">
        <v>1295</v>
      </c>
      <c r="G324" s="27" t="s">
        <v>44</v>
      </c>
      <c r="H324" s="27" t="s">
        <v>21</v>
      </c>
      <c r="I324" s="27" t="s">
        <v>21</v>
      </c>
      <c r="J324" s="27" t="s">
        <v>60</v>
      </c>
      <c r="K324" s="27" t="s">
        <v>1296</v>
      </c>
      <c r="L324" s="30" t="s">
        <v>1297</v>
      </c>
      <c r="M324" s="51"/>
      <c r="N324" s="35" t="str">
        <f t="shared" si="16"/>
        <v>maruhiSetteiShouninSeigen</v>
      </c>
    </row>
    <row r="325" spans="2:14" ht="33.75">
      <c r="B325" s="21"/>
      <c r="C325" s="26" t="s">
        <v>16</v>
      </c>
      <c r="D325" s="26" t="s">
        <v>16</v>
      </c>
      <c r="E325" s="29" t="s">
        <v>1298</v>
      </c>
      <c r="F325" s="27" t="s">
        <v>1299</v>
      </c>
      <c r="G325" s="27" t="s">
        <v>44</v>
      </c>
      <c r="H325" s="27" t="s">
        <v>21</v>
      </c>
      <c r="I325" s="27" t="s">
        <v>21</v>
      </c>
      <c r="J325" s="27" t="s">
        <v>60</v>
      </c>
      <c r="K325" s="27" t="s">
        <v>1300</v>
      </c>
      <c r="L325" s="30" t="s">
        <v>1301</v>
      </c>
      <c r="M325" s="49"/>
      <c r="N325" s="35" t="str">
        <f t="shared" si="16"/>
        <v>etsuranSeigenGougi</v>
      </c>
    </row>
    <row r="326" spans="2:14" ht="33.75">
      <c r="B326" s="21"/>
      <c r="C326" s="26" t="s">
        <v>16</v>
      </c>
      <c r="D326" s="26" t="s">
        <v>16</v>
      </c>
      <c r="E326" s="29" t="s">
        <v>1302</v>
      </c>
      <c r="F326" s="27" t="s">
        <v>1303</v>
      </c>
      <c r="G326" s="27" t="s">
        <v>44</v>
      </c>
      <c r="H326" s="27" t="s">
        <v>21</v>
      </c>
      <c r="I326" s="27" t="s">
        <v>21</v>
      </c>
      <c r="J326" s="22" t="s">
        <v>778</v>
      </c>
      <c r="K326" s="27" t="s">
        <v>1304</v>
      </c>
      <c r="L326" s="30" t="s">
        <v>1305</v>
      </c>
      <c r="M326" s="49"/>
      <c r="N326" s="35" t="str">
        <f t="shared" si="16"/>
        <v>etsuranSeigenEtsuransha</v>
      </c>
    </row>
    <row r="327" spans="2:14" ht="46.5" customHeight="1">
      <c r="B327" s="21"/>
      <c r="C327" s="26" t="s">
        <v>16</v>
      </c>
      <c r="D327" s="26" t="s">
        <v>16</v>
      </c>
      <c r="E327" s="29" t="s">
        <v>1306</v>
      </c>
      <c r="F327" s="27" t="s">
        <v>1307</v>
      </c>
      <c r="G327" s="27" t="s">
        <v>44</v>
      </c>
      <c r="H327" s="27" t="s">
        <v>21</v>
      </c>
      <c r="I327" s="27" t="s">
        <v>21</v>
      </c>
      <c r="J327" s="22" t="s">
        <v>60</v>
      </c>
      <c r="K327" s="27" t="s">
        <v>1308</v>
      </c>
      <c r="L327" s="30" t="s">
        <v>1309</v>
      </c>
      <c r="M327" s="49"/>
      <c r="N327" s="35" t="str">
        <f t="shared" si="16"/>
        <v>teikiJouhouYuukouKigen</v>
      </c>
    </row>
    <row r="328" spans="2:14" ht="22.5">
      <c r="B328" s="21"/>
      <c r="C328" s="26" t="s">
        <v>16</v>
      </c>
      <c r="D328" s="26" t="s">
        <v>16</v>
      </c>
      <c r="E328" s="29" t="s">
        <v>1310</v>
      </c>
      <c r="F328" s="27" t="s">
        <v>1311</v>
      </c>
      <c r="G328" s="27" t="s">
        <v>1118</v>
      </c>
      <c r="H328" s="27" t="s">
        <v>21</v>
      </c>
      <c r="I328" s="27" t="s">
        <v>21</v>
      </c>
      <c r="J328" s="22" t="s">
        <v>1312</v>
      </c>
      <c r="K328" s="27" t="s">
        <v>1313</v>
      </c>
      <c r="L328" s="30" t="s">
        <v>1314</v>
      </c>
      <c r="M328" s="49"/>
      <c r="N328" s="35" t="str">
        <f t="shared" ref="N328:N331" si="23">LOWER(LEFT(K328,1))&amp;MID(SUBSTITUTE(PROPER(K328),"_",""),2,LEN(K328))</f>
        <v>ringiChoukaHantei</v>
      </c>
    </row>
    <row r="329" spans="2:14" ht="61.5" customHeight="1">
      <c r="B329" s="21"/>
      <c r="C329" s="26" t="s">
        <v>16</v>
      </c>
      <c r="D329" s="26" t="s">
        <v>16</v>
      </c>
      <c r="E329" s="29" t="s">
        <v>1315</v>
      </c>
      <c r="F329" s="27" t="s">
        <v>1316</v>
      </c>
      <c r="G329" s="27" t="s">
        <v>44</v>
      </c>
      <c r="H329" s="27" t="s">
        <v>21</v>
      </c>
      <c r="I329" s="27" t="s">
        <v>21</v>
      </c>
      <c r="J329" s="27" t="s">
        <v>60</v>
      </c>
      <c r="K329" s="27" t="s">
        <v>1317</v>
      </c>
      <c r="L329" s="30" t="s">
        <v>1318</v>
      </c>
      <c r="M329" s="49"/>
      <c r="N329" s="35" t="str">
        <f t="shared" si="23"/>
        <v>ringiChoukaShounintou</v>
      </c>
    </row>
    <row r="330" spans="2:14" ht="61.5" customHeight="1">
      <c r="B330" s="21"/>
      <c r="C330" s="26" t="s">
        <v>16</v>
      </c>
      <c r="D330" s="26" t="s">
        <v>16</v>
      </c>
      <c r="E330" s="29" t="s">
        <v>1319</v>
      </c>
      <c r="F330" s="27" t="s">
        <v>1320</v>
      </c>
      <c r="G330" s="27" t="s">
        <v>1321</v>
      </c>
      <c r="H330" s="27" t="s">
        <v>21</v>
      </c>
      <c r="I330" s="27" t="s">
        <v>21</v>
      </c>
      <c r="J330" s="27" t="s">
        <v>1108</v>
      </c>
      <c r="K330" s="27" t="s">
        <v>1322</v>
      </c>
      <c r="L330" s="30" t="s">
        <v>1323</v>
      </c>
      <c r="M330" s="51" t="s">
        <v>1324</v>
      </c>
      <c r="N330" s="35" t="str">
        <f t="shared" si="23"/>
        <v>userTeigiTodokeKensakuKenmei</v>
      </c>
    </row>
    <row r="331" spans="2:14" ht="61.5" customHeight="1">
      <c r="B331" s="21"/>
      <c r="C331" s="26" t="s">
        <v>16</v>
      </c>
      <c r="D331" s="26" t="s">
        <v>16</v>
      </c>
      <c r="E331" s="29" t="s">
        <v>1325</v>
      </c>
      <c r="F331" s="27" t="s">
        <v>1326</v>
      </c>
      <c r="G331" s="27" t="s">
        <v>1327</v>
      </c>
      <c r="H331" s="27" t="s">
        <v>21</v>
      </c>
      <c r="I331" s="27" t="s">
        <v>21</v>
      </c>
      <c r="J331" s="27" t="s">
        <v>1108</v>
      </c>
      <c r="K331" s="27" t="s">
        <v>1328</v>
      </c>
      <c r="L331" s="30" t="s">
        <v>1329</v>
      </c>
      <c r="M331" s="51" t="s">
        <v>1330</v>
      </c>
      <c r="N331" s="35" t="str">
        <f t="shared" si="23"/>
        <v>userTeigiTodokeKensakuNaiyou</v>
      </c>
    </row>
    <row r="332" spans="2:14" ht="61.5" customHeight="1">
      <c r="B332" s="21"/>
      <c r="C332" s="26" t="s">
        <v>16</v>
      </c>
      <c r="D332" s="26" t="s">
        <v>16</v>
      </c>
      <c r="E332" s="29" t="s">
        <v>1331</v>
      </c>
      <c r="F332" s="27" t="s">
        <v>1332</v>
      </c>
      <c r="G332" s="27" t="s">
        <v>44</v>
      </c>
      <c r="H332" s="27" t="s">
        <v>21</v>
      </c>
      <c r="I332" s="27" t="s">
        <v>21</v>
      </c>
      <c r="J332" s="27" t="s">
        <v>60</v>
      </c>
      <c r="K332" s="27" t="s">
        <v>1333</v>
      </c>
      <c r="L332" s="30" t="s">
        <v>1334</v>
      </c>
      <c r="M332" s="51"/>
      <c r="N332" s="35" t="str">
        <f t="shared" ref="N332:N333" si="24">LOWER(LEFT(K332,1))&amp;MID(SUBSTITUTE(PROPER(K332),"_",""),2,LEN(K332))</f>
        <v>shozokuBumonDataKyoyu</v>
      </c>
    </row>
    <row r="333" spans="2:14" ht="61.5" customHeight="1">
      <c r="B333" s="21"/>
      <c r="C333" s="26" t="s">
        <v>16</v>
      </c>
      <c r="D333" s="26" t="s">
        <v>16</v>
      </c>
      <c r="E333" s="29" t="s">
        <v>1335</v>
      </c>
      <c r="F333" s="27" t="s">
        <v>1336</v>
      </c>
      <c r="G333" s="27" t="s">
        <v>20</v>
      </c>
      <c r="H333" s="27" t="s">
        <v>21</v>
      </c>
      <c r="I333" s="27" t="s">
        <v>21</v>
      </c>
      <c r="J333" s="27" t="s">
        <v>113</v>
      </c>
      <c r="K333" s="27" t="s">
        <v>1337</v>
      </c>
      <c r="L333" s="30" t="s">
        <v>1338</v>
      </c>
      <c r="M333" s="51"/>
      <c r="N333" s="35" t="str">
        <f t="shared" si="24"/>
        <v>routeHanteiTorihikiSentakuRule</v>
      </c>
    </row>
    <row r="334" spans="2:14" ht="61.5" customHeight="1">
      <c r="B334" s="21"/>
      <c r="C334" s="26" t="s">
        <v>16</v>
      </c>
      <c r="D334" s="26" t="s">
        <v>16</v>
      </c>
      <c r="E334" s="29" t="s">
        <v>1339</v>
      </c>
      <c r="F334" s="27" t="s">
        <v>1340</v>
      </c>
      <c r="G334" s="27" t="s">
        <v>44</v>
      </c>
      <c r="H334" s="27" t="s">
        <v>21</v>
      </c>
      <c r="I334" s="27" t="s">
        <v>21</v>
      </c>
      <c r="J334" s="27" t="s">
        <v>60</v>
      </c>
      <c r="K334" s="27" t="s">
        <v>1341</v>
      </c>
      <c r="L334" s="30" t="s">
        <v>1342</v>
      </c>
      <c r="M334" s="51"/>
      <c r="N334" s="35" t="str">
        <f t="shared" ref="N334" si="25">LOWER(LEFT(K334,1))&amp;MID(SUBSTITUTE(PROPER(K334),"_",""),2,LEN(K334))</f>
        <v>kaigaiNittouTankaGaikaSettei</v>
      </c>
    </row>
    <row r="335" spans="2:14" ht="61.5" customHeight="1">
      <c r="B335" s="21"/>
      <c r="C335" s="26" t="s">
        <v>16</v>
      </c>
      <c r="D335" s="26" t="s">
        <v>16</v>
      </c>
      <c r="E335" s="29" t="s">
        <v>1343</v>
      </c>
      <c r="F335" s="27" t="s">
        <v>1344</v>
      </c>
      <c r="G335" s="27" t="s">
        <v>1345</v>
      </c>
      <c r="H335" s="27" t="s">
        <v>21</v>
      </c>
      <c r="I335" s="27" t="s">
        <v>21</v>
      </c>
      <c r="J335" s="27" t="s">
        <v>1346</v>
      </c>
      <c r="K335" s="27" t="s">
        <v>1347</v>
      </c>
      <c r="L335" s="30" t="s">
        <v>1348</v>
      </c>
      <c r="M335" s="51"/>
      <c r="N335" s="60" t="str">
        <f>LOWER(LEFT(K335,1))&amp;MID(SUBSTITUTE(PROPER(K335),"_",""),2,LEN(K335))</f>
        <v>loginIjiJikan</v>
      </c>
    </row>
    <row r="336" spans="2:14" ht="61.5" customHeight="1">
      <c r="B336" s="21"/>
      <c r="C336" s="26" t="s">
        <v>16</v>
      </c>
      <c r="D336" s="26" t="s">
        <v>16</v>
      </c>
      <c r="E336" s="29" t="s">
        <v>1393</v>
      </c>
      <c r="F336" s="27" t="s">
        <v>1394</v>
      </c>
      <c r="G336" s="27" t="s">
        <v>138</v>
      </c>
      <c r="H336" s="27" t="s">
        <v>139</v>
      </c>
      <c r="I336" s="27" t="s">
        <v>139</v>
      </c>
      <c r="J336" s="27" t="s">
        <v>1044</v>
      </c>
      <c r="K336" s="27" t="s">
        <v>1395</v>
      </c>
      <c r="L336" s="30" t="s">
        <v>1392</v>
      </c>
      <c r="M336" s="51"/>
      <c r="N336" s="35" t="str">
        <f t="shared" ref="N336:N339" si="26">LOWER(LEFT(K336,1))&amp;MID(SUBSTITUTE(PROPER(K336),"_",""),2,LEN(K336))</f>
        <v>userDaihyoufutanbumonMinyuuryokuCheck</v>
      </c>
    </row>
    <row r="337" spans="2:14" s="101" customFormat="1" ht="67.5">
      <c r="B337" s="102"/>
      <c r="C337" s="103" t="s">
        <v>16</v>
      </c>
      <c r="D337" s="103" t="s">
        <v>16</v>
      </c>
      <c r="E337" s="104" t="s">
        <v>1406</v>
      </c>
      <c r="F337" s="105" t="s">
        <v>1407</v>
      </c>
      <c r="G337" s="105" t="s">
        <v>44</v>
      </c>
      <c r="H337" s="105" t="s">
        <v>21</v>
      </c>
      <c r="I337" s="105" t="s">
        <v>21</v>
      </c>
      <c r="J337" s="105" t="s">
        <v>60</v>
      </c>
      <c r="K337" s="105" t="s">
        <v>1408</v>
      </c>
      <c r="L337" s="106" t="s">
        <v>1409</v>
      </c>
      <c r="M337" s="107"/>
      <c r="N337" s="108" t="str">
        <f t="shared" si="26"/>
        <v>saishuushouninKaijoFlg</v>
      </c>
    </row>
    <row r="338" spans="2:14" s="101" customFormat="1" ht="67.5">
      <c r="B338" s="102"/>
      <c r="C338" s="103" t="s">
        <v>16</v>
      </c>
      <c r="D338" s="103" t="s">
        <v>16</v>
      </c>
      <c r="E338" s="104" t="s">
        <v>1410</v>
      </c>
      <c r="F338" s="105" t="s">
        <v>1411</v>
      </c>
      <c r="G338" s="105" t="s">
        <v>44</v>
      </c>
      <c r="H338" s="105" t="s">
        <v>21</v>
      </c>
      <c r="I338" s="105" t="s">
        <v>21</v>
      </c>
      <c r="J338" s="105" t="s">
        <v>60</v>
      </c>
      <c r="K338" s="105" t="s">
        <v>1412</v>
      </c>
      <c r="L338" s="106" t="s">
        <v>1413</v>
      </c>
      <c r="M338" s="107"/>
      <c r="N338" s="108" t="str">
        <f t="shared" si="26"/>
        <v>denpyouHenkouFlg</v>
      </c>
    </row>
    <row r="339" spans="2:14" s="101" customFormat="1" ht="67.5">
      <c r="B339" s="109"/>
      <c r="C339" s="103" t="s">
        <v>16</v>
      </c>
      <c r="D339" s="103" t="s">
        <v>16</v>
      </c>
      <c r="E339" s="104" t="s">
        <v>1414</v>
      </c>
      <c r="F339" s="105" t="s">
        <v>1415</v>
      </c>
      <c r="G339" s="105" t="s">
        <v>21</v>
      </c>
      <c r="H339" s="105" t="s">
        <v>21</v>
      </c>
      <c r="I339" s="105" t="s">
        <v>21</v>
      </c>
      <c r="J339" s="105" t="s">
        <v>60</v>
      </c>
      <c r="K339" s="105" t="s">
        <v>1417</v>
      </c>
      <c r="L339" s="106" t="s">
        <v>1416</v>
      </c>
      <c r="M339" s="107"/>
      <c r="N339" s="108" t="str">
        <f t="shared" si="26"/>
        <v>maruhiHyoujiSeigyoFlg</v>
      </c>
    </row>
    <row r="340" spans="2:14" ht="45">
      <c r="B340" s="90" t="s">
        <v>1349</v>
      </c>
      <c r="C340" s="91" t="s">
        <v>16</v>
      </c>
      <c r="D340" s="91"/>
      <c r="E340" s="92" t="s">
        <v>1350</v>
      </c>
      <c r="F340" s="93" t="s">
        <v>1351</v>
      </c>
      <c r="G340" s="93" t="s">
        <v>44</v>
      </c>
      <c r="H340" s="93" t="s">
        <v>44</v>
      </c>
      <c r="I340" s="93" t="s">
        <v>44</v>
      </c>
      <c r="J340" s="93" t="s">
        <v>1352</v>
      </c>
      <c r="K340" s="94" t="s">
        <v>1353</v>
      </c>
      <c r="L340" s="94" t="s">
        <v>1354</v>
      </c>
      <c r="M340" s="95"/>
      <c r="N340" s="89" t="str">
        <f>LOWER(LEFT(K340,1))&amp;MID(SUBSTITUTE(PROPER(K340),"_",""),2,LEN(K340))</f>
        <v>yosanOption</v>
      </c>
    </row>
    <row r="341" spans="2:14" ht="22.5">
      <c r="B341" s="90"/>
      <c r="C341" s="91" t="s">
        <v>16</v>
      </c>
      <c r="D341" s="91"/>
      <c r="E341" s="92" t="s">
        <v>1355</v>
      </c>
      <c r="F341" s="93" t="s">
        <v>1356</v>
      </c>
      <c r="G341" s="93" t="s">
        <v>44</v>
      </c>
      <c r="H341" s="93" t="s">
        <v>44</v>
      </c>
      <c r="I341" s="93" t="s">
        <v>44</v>
      </c>
      <c r="J341" s="93" t="s">
        <v>60</v>
      </c>
      <c r="K341" s="94" t="s">
        <v>1357</v>
      </c>
      <c r="L341" s="94" t="s">
        <v>1358</v>
      </c>
      <c r="M341" s="95"/>
      <c r="N341" s="89" t="str">
        <f>LOWER(LEFT(K341,1))&amp;MID(SUBSTITUTE(PROPER(K341),"_",""),2,LEN(K341))</f>
        <v>ippanOption</v>
      </c>
    </row>
    <row r="342" spans="2:14" ht="22.5">
      <c r="B342" s="90"/>
      <c r="C342" s="91" t="s">
        <v>16</v>
      </c>
      <c r="D342" s="91"/>
      <c r="E342" s="92" t="s">
        <v>1359</v>
      </c>
      <c r="F342" s="93" t="s">
        <v>1360</v>
      </c>
      <c r="G342" s="93" t="s">
        <v>44</v>
      </c>
      <c r="H342" s="93" t="s">
        <v>44</v>
      </c>
      <c r="I342" s="93" t="s">
        <v>44</v>
      </c>
      <c r="J342" s="93" t="s">
        <v>60</v>
      </c>
      <c r="K342" s="94" t="s">
        <v>1361</v>
      </c>
      <c r="L342" s="94" t="s">
        <v>1358</v>
      </c>
      <c r="M342" s="95"/>
      <c r="N342" s="89" t="str">
        <f>LOWER(LEFT(K342,1))&amp;MID(SUBSTITUTE(PROPER(K342),"_",""),2,LEN(K342))</f>
        <v>kyotenOption</v>
      </c>
    </row>
  </sheetData>
  <autoFilter ref="B6:L342" xr:uid="{00000000-0009-0000-0000-000000000000}"/>
  <phoneticPr fontId="5"/>
  <hyperlinks>
    <hyperlink ref="G16" r:id="rId1" xr:uid="{00000000-0004-0000-0000-000000000000}"/>
    <hyperlink ref="G7" r:id="rId2" xr:uid="{00000000-0004-0000-0000-000001000000}"/>
  </hyperlinks>
  <printOptions horizontalCentered="1"/>
  <pageMargins left="0.59055118110236227" right="0.59055118110236227" top="0.78740157480314965" bottom="0.78740157480314965" header="0.51181102362204722" footer="0.39370078740157483"/>
  <pageSetup paperSize="9" scale="42" fitToHeight="0" orientation="landscape" horizontalDpi="300" verticalDpi="300" r:id="rId3"/>
  <headerFooter alignWithMargins="0">
    <oddFooter xml:space="preserve">&amp;C&amp;P / &amp;N ページ&amp;R&amp;"ＭＳ Ｐゴシック,太字 斜体"&amp;8Copyright 2013©Tokyo System Research Corp, All rights reserved.
</oddFooter>
  </headerFooter>
  <drawing r:id="rId4"/>
  <legacy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FFFF"/>
  </sheetPr>
  <dimension ref="A1:B2"/>
  <sheetViews>
    <sheetView workbookViewId="0">
      <selection activeCell="B3" sqref="B3"/>
    </sheetView>
  </sheetViews>
  <sheetFormatPr defaultColWidth="9" defaultRowHeight="11.25"/>
  <cols>
    <col min="1" max="1" width="9" style="1" customWidth="1"/>
    <col min="2" max="2" width="41.625" style="1" bestFit="1" customWidth="1"/>
    <col min="3" max="16384" width="9" style="1"/>
  </cols>
  <sheetData>
    <row r="1" spans="1:2" ht="17.25">
      <c r="A1" s="67" t="s">
        <v>1362</v>
      </c>
      <c r="B1" s="68" t="s">
        <v>1363</v>
      </c>
    </row>
    <row r="2" spans="1:2" ht="17.25">
      <c r="A2" s="67" t="s">
        <v>1364</v>
      </c>
      <c r="B2" s="68" t="s">
        <v>1365</v>
      </c>
    </row>
  </sheetData>
  <phoneticPr fontId="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FFFF"/>
  </sheetPr>
  <dimension ref="C1:AT34"/>
  <sheetViews>
    <sheetView showGridLines="0" view="pageBreakPreview" zoomScaleSheetLayoutView="100" workbookViewId="0">
      <pane ySplit="4" topLeftCell="A16" activePane="bottomLeft" state="frozen"/>
      <selection pane="bottomLeft" activeCell="D30" sqref="D30"/>
    </sheetView>
  </sheetViews>
  <sheetFormatPr defaultColWidth="1.625" defaultRowHeight="11.25"/>
  <cols>
    <col min="1" max="1" width="0.75" style="2" customWidth="1"/>
    <col min="2" max="12" width="1.625" style="2" customWidth="1"/>
    <col min="13" max="16384" width="1.625" style="2"/>
  </cols>
  <sheetData>
    <row r="1" spans="3:46" ht="3" customHeight="1"/>
    <row r="2" spans="3:46" ht="14.25" customHeight="1"/>
    <row r="3" spans="3:46" ht="14.25" customHeight="1"/>
    <row r="4" spans="3:46" ht="14.25" customHeight="1"/>
    <row r="6" spans="3:46">
      <c r="C6" s="2" t="s">
        <v>1366</v>
      </c>
    </row>
    <row r="8" spans="3:46">
      <c r="C8" s="2" t="s">
        <v>1367</v>
      </c>
    </row>
    <row r="10" spans="3:46">
      <c r="C10" s="2" t="s">
        <v>1368</v>
      </c>
    </row>
    <row r="12" spans="3:46">
      <c r="C12" s="2" t="s">
        <v>1369</v>
      </c>
    </row>
    <row r="13" spans="3:46">
      <c r="C13" s="2" t="s">
        <v>1370</v>
      </c>
    </row>
    <row r="15" spans="3:46" ht="13.5">
      <c r="C15" t="s">
        <v>1371</v>
      </c>
      <c r="D15"/>
      <c r="E15"/>
    </row>
    <row r="16" spans="3:46" ht="13.5">
      <c r="C16"/>
      <c r="D16" s="4" t="s">
        <v>1372</v>
      </c>
      <c r="E16" s="5"/>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7"/>
    </row>
    <row r="17" spans="3:46" ht="13.5">
      <c r="C17"/>
      <c r="D17" s="8" t="s">
        <v>1373</v>
      </c>
      <c r="E17" s="9"/>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1"/>
    </row>
    <row r="18" spans="3:46" ht="13.5">
      <c r="C18"/>
      <c r="D18" s="8" t="s">
        <v>1374</v>
      </c>
      <c r="E18" s="9"/>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1"/>
    </row>
    <row r="19" spans="3:46" ht="13.5">
      <c r="C19"/>
      <c r="D19" s="8" t="s">
        <v>1375</v>
      </c>
      <c r="E19" s="9"/>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1"/>
    </row>
    <row r="20" spans="3:46" ht="13.5">
      <c r="C20"/>
      <c r="D20" s="8" t="s">
        <v>1376</v>
      </c>
      <c r="E20" s="9"/>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1"/>
    </row>
    <row r="21" spans="3:46" ht="13.5">
      <c r="C21"/>
      <c r="D21" s="8" t="s">
        <v>1377</v>
      </c>
      <c r="E21" s="9"/>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1"/>
    </row>
    <row r="22" spans="3:46" ht="13.5">
      <c r="C22"/>
      <c r="D22" s="8" t="s">
        <v>1378</v>
      </c>
      <c r="E22" s="9"/>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1"/>
    </row>
    <row r="23" spans="3:46" ht="13.5">
      <c r="C23"/>
      <c r="D23" s="8" t="s">
        <v>1379</v>
      </c>
      <c r="E23" s="9"/>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1"/>
    </row>
    <row r="24" spans="3:46" ht="13.5">
      <c r="C24"/>
      <c r="D24" s="8" t="s">
        <v>1380</v>
      </c>
      <c r="E24" s="9"/>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1"/>
    </row>
    <row r="25" spans="3:46" ht="13.5">
      <c r="C25"/>
      <c r="D25" s="8" t="s">
        <v>1381</v>
      </c>
      <c r="E25" s="9"/>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1"/>
    </row>
    <row r="26" spans="3:46" ht="13.5">
      <c r="C26"/>
      <c r="D26" s="8" t="s">
        <v>1382</v>
      </c>
      <c r="E26" s="9"/>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1"/>
    </row>
    <row r="27" spans="3:46" ht="13.5">
      <c r="C27"/>
      <c r="D27" s="12" t="s">
        <v>1383</v>
      </c>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4"/>
    </row>
    <row r="28" spans="3:46" ht="13.5">
      <c r="C28"/>
    </row>
    <row r="29" spans="3:46" ht="13.5">
      <c r="C29" t="s">
        <v>1384</v>
      </c>
    </row>
    <row r="30" spans="3:46" ht="15">
      <c r="C30"/>
      <c r="D30" s="3" t="s">
        <v>1385</v>
      </c>
      <c r="E30"/>
      <c r="F30"/>
      <c r="G30"/>
      <c r="H30"/>
      <c r="I30"/>
    </row>
    <row r="31" spans="3:46" ht="15">
      <c r="C31"/>
      <c r="D31" t="s">
        <v>1386</v>
      </c>
      <c r="F31" s="3" t="s">
        <v>1387</v>
      </c>
      <c r="G31"/>
      <c r="H31"/>
      <c r="I31"/>
    </row>
    <row r="32" spans="3:46" ht="13.5">
      <c r="C32"/>
      <c r="E32"/>
      <c r="F32"/>
      <c r="G32"/>
      <c r="H32"/>
      <c r="I32"/>
    </row>
    <row r="33" spans="4:9" ht="13.5">
      <c r="D33"/>
      <c r="E33"/>
      <c r="F33"/>
      <c r="G33"/>
      <c r="H33"/>
      <c r="I33"/>
    </row>
    <row r="34" spans="4:9" ht="13.5">
      <c r="E34"/>
      <c r="F34"/>
      <c r="G34"/>
      <c r="H34"/>
      <c r="I34"/>
    </row>
  </sheetData>
  <phoneticPr fontId="5"/>
  <hyperlinks>
    <hyperlink ref="F31" r:id="rId1" xr:uid="{00000000-0004-0000-0200-000000000000}"/>
    <hyperlink ref="D30" r:id="rId2" xr:uid="{00000000-0004-0000-0200-000001000000}"/>
  </hyperlinks>
  <printOptions horizontalCentered="1"/>
  <pageMargins left="0.59055118110236227" right="0.59055118110236227" top="0.78740157480314965" bottom="0.78740157480314965" header="0.51181102362204722" footer="0.39370078740157483"/>
  <pageSetup paperSize="9" scale="99" fitToHeight="0" orientation="landscape" horizontalDpi="300" verticalDpi="300" r:id="rId3"/>
  <headerFooter alignWithMargins="0">
    <oddFooter xml:space="preserve">&amp;C&amp;P / &amp;N ページ&amp;R&amp;"ＭＳ Ｐゴシック,太字 斜体"&amp;8Copyright 2013©Tokyo System Research Corp, All rights reserved.
</oddFooter>
  </headerFooter>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設定情報一覧</vt:lpstr>
      <vt:lpstr>制御</vt:lpstr>
      <vt:lpstr>概要</vt:lpstr>
      <vt:lpstr>概要!Print_Titles</vt:lpstr>
      <vt:lpstr>設定情報一覧!Print_Titles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isogai</dc:creator>
  <cp:keywords/>
  <dc:description/>
  <cp:lastModifiedBy>ICSP</cp:lastModifiedBy>
  <cp:revision/>
  <dcterms:created xsi:type="dcterms:W3CDTF">1900-12-31T15:00:00Z</dcterms:created>
  <dcterms:modified xsi:type="dcterms:W3CDTF">2023-02-15T06:08:16Z</dcterms:modified>
  <cp:category/>
  <cp:contentStatus/>
</cp:coreProperties>
</file>